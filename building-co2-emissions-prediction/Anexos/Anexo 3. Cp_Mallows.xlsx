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Universidad\Ciclo VI\Análisis de Regresión\Semana 10\TrabajoGrupal\"/>
    </mc:Choice>
  </mc:AlternateContent>
  <xr:revisionPtr revIDLastSave="0" documentId="13_ncr:1_{98474079-3E43-476D-AD12-6E0437D09699}" xr6:coauthVersionLast="47" xr6:coauthVersionMax="47" xr10:uidLastSave="{00000000-0000-0000-0000-000000000000}"/>
  <bookViews>
    <workbookView xWindow="-108" yWindow="-108" windowWidth="23256" windowHeight="12456" firstSheet="1" activeTab="1" xr2:uid="{C97CE676-9E4C-447A-8DBD-1CAFCA30AEB9}"/>
  </bookViews>
  <sheets>
    <sheet name="Hoja1" sheetId="1" state="hidden" r:id="rId1"/>
    <sheet name="Cp_Mallo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6" i="1" l="1"/>
  <c r="Z53" i="1"/>
  <c r="Z54" i="1"/>
  <c r="Z55" i="1"/>
  <c r="Z52" i="1"/>
  <c r="Z51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7" i="1"/>
  <c r="Z48" i="1"/>
  <c r="Z49" i="1"/>
  <c r="Z50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32" i="1"/>
  <c r="Z27" i="1"/>
  <c r="Z28" i="1"/>
  <c r="Z29" i="1"/>
  <c r="Z30" i="1"/>
  <c r="Z31" i="1"/>
  <c r="Z2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6" i="1"/>
</calcChain>
</file>

<file path=xl/sharedStrings.xml><?xml version="1.0" encoding="utf-8"?>
<sst xmlns="http://schemas.openxmlformats.org/spreadsheetml/2006/main" count="3145" uniqueCount="27">
  <si>
    <t>R-cuad.</t>
  </si>
  <si>
    <t>S</t>
  </si>
  <si>
    <t>X</t>
  </si>
  <si>
    <t xml:space="preserve"> </t>
  </si>
  <si>
    <t>Variables</t>
  </si>
  <si>
    <t>Tipo_edificio_Local</t>
  </si>
  <si>
    <t>Tipo_edificio_Unifamiliar</t>
  </si>
  <si>
    <t>Tipo_edificio_Edificio completo</t>
  </si>
  <si>
    <t>coord_y</t>
  </si>
  <si>
    <t>Tipo_edificio_Bloque completo</t>
  </si>
  <si>
    <t>Estado_edificio_Proyecto Nueva Construccion</t>
  </si>
  <si>
    <t>Estado_edificio_Obra Terminada</t>
  </si>
  <si>
    <t>Dias_hasta_expiracion</t>
  </si>
  <si>
    <t>Anio_emision</t>
  </si>
  <si>
    <t>Muy_antiguo</t>
  </si>
  <si>
    <t>Provincia_ZARAGOZA</t>
  </si>
  <si>
    <t>R-cuad. (ajust)</t>
  </si>
  <si>
    <t>R-cuad. (pred)</t>
  </si>
  <si>
    <t>Cp de Mallows</t>
  </si>
  <si>
    <t>Clasificacion_Emisiones_ordinal</t>
  </si>
  <si>
    <t>Estado_edificio_Proyecto Reforma</t>
  </si>
  <si>
    <t>estacion_primavera</t>
  </si>
  <si>
    <t>CibsyniKWh/m2/Anio</t>
  </si>
  <si>
    <t>coord_x</t>
  </si>
  <si>
    <t>Mes_emision</t>
  </si>
  <si>
    <t>estacion_verano</t>
  </si>
  <si>
    <t>MEJOR SUBCONJUNTO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</si>
</sst>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CE00"/>
        <bgColor indexed="64"/>
      </patternFill>
    </fill>
    <fill>
      <patternFill patternType="solid">
        <fgColor rgb="FFE5ED2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center" textRotation="90"/>
    </xf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6" fontId="0" fillId="0" borderId="0" xfId="0" applyNumberFormat="1"/>
    <xf numFmtId="166" fontId="0" fillId="2" borderId="0" xfId="0" applyNumberFormat="1" applyFill="1"/>
    <xf numFmtId="166" fontId="0" fillId="3" borderId="2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ACE00"/>
      <color rgb="FFE5E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708-7384-42EC-A544-F2A8B005940C}">
  <dimension ref="B5:Z91"/>
  <sheetViews>
    <sheetView topLeftCell="A59" zoomScale="70" zoomScaleNormal="70" workbookViewId="0">
      <selection activeCell="F73" sqref="F73"/>
    </sheetView>
  </sheetViews>
  <sheetFormatPr baseColWidth="10" defaultRowHeight="14.4" x14ac:dyDescent="0.3"/>
  <cols>
    <col min="1" max="1" width="3.33203125" customWidth="1"/>
    <col min="2" max="2" width="9.44140625" bestFit="1" customWidth="1"/>
    <col min="3" max="3" width="7.5546875" bestFit="1" customWidth="1"/>
    <col min="4" max="4" width="13.77734375" bestFit="1" customWidth="1"/>
    <col min="5" max="5" width="13.33203125" bestFit="1" customWidth="1"/>
    <col min="6" max="6" width="13.88671875" bestFit="1" customWidth="1"/>
    <col min="7" max="7" width="7.77734375" bestFit="1" customWidth="1"/>
    <col min="8" max="25" width="2" style="1" bestFit="1" customWidth="1"/>
  </cols>
  <sheetData>
    <row r="5" spans="2:26" ht="211.8" x14ac:dyDescent="0.3">
      <c r="B5" s="1" t="s">
        <v>4</v>
      </c>
      <c r="C5" s="1" t="s">
        <v>0</v>
      </c>
      <c r="D5" s="1" t="s">
        <v>16</v>
      </c>
      <c r="E5" s="1" t="s">
        <v>17</v>
      </c>
      <c r="F5" s="1" t="s">
        <v>18</v>
      </c>
      <c r="G5" s="1" t="s">
        <v>1</v>
      </c>
      <c r="H5" s="5" t="s">
        <v>19</v>
      </c>
      <c r="I5" s="5" t="s">
        <v>5</v>
      </c>
      <c r="J5" s="5" t="s">
        <v>6</v>
      </c>
      <c r="K5" s="5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</row>
    <row r="6" spans="2:26" s="4" customFormat="1" x14ac:dyDescent="0.3">
      <c r="B6" s="2">
        <v>1</v>
      </c>
      <c r="C6" s="2">
        <v>49.7</v>
      </c>
      <c r="D6" s="2">
        <v>49.7</v>
      </c>
      <c r="E6" s="2">
        <v>49.7</v>
      </c>
      <c r="F6" s="2">
        <v>45001.1</v>
      </c>
      <c r="G6" s="2">
        <v>19.954000000000001</v>
      </c>
      <c r="H6" s="3" t="s">
        <v>2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3</v>
      </c>
      <c r="X6" s="3" t="s">
        <v>3</v>
      </c>
      <c r="Y6" s="3" t="s">
        <v>3</v>
      </c>
      <c r="Z6" s="4">
        <f>F6/100</f>
        <v>450.01099999999997</v>
      </c>
    </row>
    <row r="7" spans="2:26" x14ac:dyDescent="0.3">
      <c r="B7">
        <v>1</v>
      </c>
      <c r="C7">
        <v>5</v>
      </c>
      <c r="D7">
        <v>5</v>
      </c>
      <c r="E7">
        <v>5</v>
      </c>
      <c r="F7">
        <v>244565.9</v>
      </c>
      <c r="G7">
        <v>27.427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2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>
        <f t="shared" ref="Z7:Z70" si="0">F7/100</f>
        <v>2445.6590000000001</v>
      </c>
    </row>
    <row r="8" spans="2:26" x14ac:dyDescent="0.3">
      <c r="B8">
        <v>1</v>
      </c>
      <c r="C8">
        <v>1.3</v>
      </c>
      <c r="D8">
        <v>1.3</v>
      </c>
      <c r="E8">
        <v>1.3</v>
      </c>
      <c r="F8">
        <v>261082</v>
      </c>
      <c r="G8">
        <v>27.956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2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>
        <f t="shared" si="0"/>
        <v>2610.8200000000002</v>
      </c>
    </row>
    <row r="9" spans="2:26" x14ac:dyDescent="0.3">
      <c r="B9">
        <v>1</v>
      </c>
      <c r="C9">
        <v>1</v>
      </c>
      <c r="D9">
        <v>1</v>
      </c>
      <c r="E9">
        <v>1</v>
      </c>
      <c r="F9">
        <v>262353.09999999998</v>
      </c>
      <c r="G9">
        <v>27.997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2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>
        <f t="shared" si="0"/>
        <v>2623.5309999999999</v>
      </c>
    </row>
    <row r="10" spans="2:26" x14ac:dyDescent="0.3">
      <c r="B10">
        <v>1</v>
      </c>
      <c r="C10">
        <v>0.9</v>
      </c>
      <c r="D10">
        <v>0.9</v>
      </c>
      <c r="E10">
        <v>0.9</v>
      </c>
      <c r="F10">
        <v>262860.09999999998</v>
      </c>
      <c r="G10">
        <v>28.013000000000002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2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>
        <f t="shared" si="0"/>
        <v>2628.6009999999997</v>
      </c>
    </row>
    <row r="11" spans="2:26" x14ac:dyDescent="0.3">
      <c r="B11" s="2">
        <v>2</v>
      </c>
      <c r="C11" s="2">
        <v>53.4</v>
      </c>
      <c r="D11" s="2">
        <v>53.4</v>
      </c>
      <c r="E11" s="2">
        <v>53.4</v>
      </c>
      <c r="F11" s="2">
        <v>28626.799999999999</v>
      </c>
      <c r="G11" s="2">
        <v>19.212</v>
      </c>
      <c r="H11" s="3" t="s">
        <v>2</v>
      </c>
      <c r="I11" s="3" t="s">
        <v>2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  <c r="Q11" s="3" t="s">
        <v>3</v>
      </c>
      <c r="R11" s="3" t="s">
        <v>3</v>
      </c>
      <c r="S11" s="3" t="s">
        <v>3</v>
      </c>
      <c r="T11" s="3" t="s">
        <v>3</v>
      </c>
      <c r="U11" s="3" t="s">
        <v>3</v>
      </c>
      <c r="V11" s="3" t="s">
        <v>3</v>
      </c>
      <c r="W11" s="3" t="s">
        <v>3</v>
      </c>
      <c r="X11" s="3" t="s">
        <v>3</v>
      </c>
      <c r="Y11" s="3" t="s">
        <v>3</v>
      </c>
      <c r="Z11">
        <f t="shared" si="0"/>
        <v>286.26799999999997</v>
      </c>
    </row>
    <row r="12" spans="2:26" x14ac:dyDescent="0.3">
      <c r="B12">
        <v>2</v>
      </c>
      <c r="C12">
        <v>52.3</v>
      </c>
      <c r="D12">
        <v>52.3</v>
      </c>
      <c r="E12">
        <v>52.3</v>
      </c>
      <c r="F12">
        <v>33614.400000000001</v>
      </c>
      <c r="G12">
        <v>19.440999999999999</v>
      </c>
      <c r="H12" s="1" t="s">
        <v>2</v>
      </c>
      <c r="I12" s="1" t="s">
        <v>3</v>
      </c>
      <c r="J12" s="1" t="s">
        <v>2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>
        <f t="shared" si="0"/>
        <v>336.14400000000001</v>
      </c>
    </row>
    <row r="13" spans="2:26" x14ac:dyDescent="0.3">
      <c r="B13">
        <v>2</v>
      </c>
      <c r="C13">
        <v>50.9</v>
      </c>
      <c r="D13">
        <v>50.9</v>
      </c>
      <c r="E13">
        <v>50.9</v>
      </c>
      <c r="F13">
        <v>39910.9</v>
      </c>
      <c r="G13">
        <v>19.725999999999999</v>
      </c>
      <c r="H13" s="1" t="s">
        <v>2</v>
      </c>
      <c r="I13" s="1" t="s">
        <v>3</v>
      </c>
      <c r="J13" s="1" t="s">
        <v>3</v>
      </c>
      <c r="K13" s="1" t="s">
        <v>2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>
        <f t="shared" si="0"/>
        <v>399.10900000000004</v>
      </c>
    </row>
    <row r="14" spans="2:26" x14ac:dyDescent="0.3">
      <c r="B14">
        <v>2</v>
      </c>
      <c r="C14">
        <v>50.2</v>
      </c>
      <c r="D14">
        <v>50.2</v>
      </c>
      <c r="E14">
        <v>50.2</v>
      </c>
      <c r="F14">
        <v>42966.2</v>
      </c>
      <c r="G14">
        <v>19.863</v>
      </c>
      <c r="H14" s="1" t="s">
        <v>2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2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>
        <f t="shared" si="0"/>
        <v>429.66199999999998</v>
      </c>
    </row>
    <row r="15" spans="2:26" x14ac:dyDescent="0.3">
      <c r="B15">
        <v>2</v>
      </c>
      <c r="C15">
        <v>50</v>
      </c>
      <c r="D15">
        <v>50</v>
      </c>
      <c r="E15">
        <v>50</v>
      </c>
      <c r="F15">
        <v>43760.3</v>
      </c>
      <c r="G15">
        <v>19.898</v>
      </c>
      <c r="H15" s="1" t="s">
        <v>2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2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>
        <f t="shared" si="0"/>
        <v>437.60300000000001</v>
      </c>
    </row>
    <row r="16" spans="2:26" x14ac:dyDescent="0.3">
      <c r="B16" s="2">
        <v>3</v>
      </c>
      <c r="C16" s="2">
        <v>56.9</v>
      </c>
      <c r="D16" s="2">
        <v>56.9</v>
      </c>
      <c r="E16" s="2">
        <v>56.9</v>
      </c>
      <c r="F16" s="2">
        <v>12953.2</v>
      </c>
      <c r="G16" s="2">
        <v>18.474</v>
      </c>
      <c r="H16" s="3" t="s">
        <v>2</v>
      </c>
      <c r="I16" s="3" t="s">
        <v>2</v>
      </c>
      <c r="J16" s="3" t="s">
        <v>2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3</v>
      </c>
      <c r="U16" s="3" t="s">
        <v>3</v>
      </c>
      <c r="V16" s="3" t="s">
        <v>3</v>
      </c>
      <c r="W16" s="3" t="s">
        <v>3</v>
      </c>
      <c r="X16" s="3" t="s">
        <v>3</v>
      </c>
      <c r="Y16" s="3" t="s">
        <v>3</v>
      </c>
      <c r="Z16">
        <f t="shared" si="0"/>
        <v>129.53200000000001</v>
      </c>
    </row>
    <row r="17" spans="2:26" x14ac:dyDescent="0.3">
      <c r="B17">
        <v>3</v>
      </c>
      <c r="C17">
        <v>54.8</v>
      </c>
      <c r="D17">
        <v>54.8</v>
      </c>
      <c r="E17">
        <v>54.8</v>
      </c>
      <c r="F17">
        <v>22261</v>
      </c>
      <c r="G17">
        <v>18.914999999999999</v>
      </c>
      <c r="H17" s="1" t="s">
        <v>2</v>
      </c>
      <c r="I17" s="1" t="s">
        <v>2</v>
      </c>
      <c r="J17" s="1" t="s">
        <v>3</v>
      </c>
      <c r="K17" s="1" t="s">
        <v>2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>
        <f t="shared" si="0"/>
        <v>222.61</v>
      </c>
    </row>
    <row r="18" spans="2:26" x14ac:dyDescent="0.3">
      <c r="B18">
        <v>3</v>
      </c>
      <c r="C18">
        <v>53.8</v>
      </c>
      <c r="D18">
        <v>53.8</v>
      </c>
      <c r="E18">
        <v>53.8</v>
      </c>
      <c r="F18">
        <v>26930.9</v>
      </c>
      <c r="G18">
        <v>19.132999999999999</v>
      </c>
      <c r="H18" s="1" t="s">
        <v>2</v>
      </c>
      <c r="I18" s="1" t="s">
        <v>2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2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>
        <f t="shared" si="0"/>
        <v>269.30900000000003</v>
      </c>
    </row>
    <row r="19" spans="2:26" x14ac:dyDescent="0.3">
      <c r="B19">
        <v>3</v>
      </c>
      <c r="C19">
        <v>53.7</v>
      </c>
      <c r="D19">
        <v>53.7</v>
      </c>
      <c r="E19">
        <v>53.7</v>
      </c>
      <c r="F19">
        <v>27232.400000000001</v>
      </c>
      <c r="G19">
        <v>19.146999999999998</v>
      </c>
      <c r="H19" s="1" t="s">
        <v>2</v>
      </c>
      <c r="I19" s="1" t="s">
        <v>2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2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>
        <f t="shared" si="0"/>
        <v>272.32400000000001</v>
      </c>
    </row>
    <row r="20" spans="2:26" x14ac:dyDescent="0.3">
      <c r="B20">
        <v>3</v>
      </c>
      <c r="C20">
        <v>53.7</v>
      </c>
      <c r="D20">
        <v>53.7</v>
      </c>
      <c r="E20">
        <v>53.7</v>
      </c>
      <c r="F20">
        <v>27335.3</v>
      </c>
      <c r="G20">
        <v>19.152000000000001</v>
      </c>
      <c r="H20" s="1" t="s">
        <v>2</v>
      </c>
      <c r="I20" s="1" t="s">
        <v>2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2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>
        <f t="shared" si="0"/>
        <v>273.35300000000001</v>
      </c>
    </row>
    <row r="21" spans="2:26" x14ac:dyDescent="0.3">
      <c r="B21" s="2">
        <v>4</v>
      </c>
      <c r="C21" s="2">
        <v>58.7</v>
      </c>
      <c r="D21" s="2">
        <v>58.7</v>
      </c>
      <c r="E21" s="2">
        <v>58.7</v>
      </c>
      <c r="F21" s="2">
        <v>4967.2</v>
      </c>
      <c r="G21" s="2">
        <v>18.085999999999999</v>
      </c>
      <c r="H21" s="3" t="s">
        <v>2</v>
      </c>
      <c r="I21" s="3" t="s">
        <v>2</v>
      </c>
      <c r="J21" s="3" t="s">
        <v>2</v>
      </c>
      <c r="K21" s="3" t="s">
        <v>2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>
        <f t="shared" si="0"/>
        <v>49.671999999999997</v>
      </c>
    </row>
    <row r="22" spans="2:26" x14ac:dyDescent="0.3">
      <c r="B22">
        <v>4</v>
      </c>
      <c r="C22">
        <v>57.1</v>
      </c>
      <c r="D22">
        <v>57.1</v>
      </c>
      <c r="E22">
        <v>57.1</v>
      </c>
      <c r="F22">
        <v>12069</v>
      </c>
      <c r="G22">
        <v>18.431000000000001</v>
      </c>
      <c r="H22" s="1" t="s">
        <v>2</v>
      </c>
      <c r="I22" s="1" t="s">
        <v>2</v>
      </c>
      <c r="J22" s="1" t="s">
        <v>2</v>
      </c>
      <c r="K22" s="1" t="s">
        <v>3</v>
      </c>
      <c r="L22" s="1" t="s">
        <v>3</v>
      </c>
      <c r="M22" s="1" t="s">
        <v>3</v>
      </c>
      <c r="N22" s="1" t="s">
        <v>2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>
        <f t="shared" si="0"/>
        <v>120.69</v>
      </c>
    </row>
    <row r="23" spans="2:26" x14ac:dyDescent="0.3">
      <c r="B23">
        <v>4</v>
      </c>
      <c r="C23">
        <v>57.1</v>
      </c>
      <c r="D23">
        <v>57.1</v>
      </c>
      <c r="E23">
        <v>57.1</v>
      </c>
      <c r="F23">
        <v>12087.3</v>
      </c>
      <c r="G23">
        <v>18.431999999999999</v>
      </c>
      <c r="H23" s="1" t="s">
        <v>2</v>
      </c>
      <c r="I23" s="1" t="s">
        <v>2</v>
      </c>
      <c r="J23" s="1" t="s">
        <v>2</v>
      </c>
      <c r="K23" s="1" t="s">
        <v>3</v>
      </c>
      <c r="L23" s="1" t="s">
        <v>2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3</v>
      </c>
      <c r="Z23">
        <f t="shared" si="0"/>
        <v>120.87299999999999</v>
      </c>
    </row>
    <row r="24" spans="2:26" x14ac:dyDescent="0.3">
      <c r="B24">
        <v>4</v>
      </c>
      <c r="C24">
        <v>57.1</v>
      </c>
      <c r="D24">
        <v>57.1</v>
      </c>
      <c r="E24">
        <v>57.1</v>
      </c>
      <c r="F24">
        <v>12251</v>
      </c>
      <c r="G24">
        <v>18.440000000000001</v>
      </c>
      <c r="H24" s="1" t="s">
        <v>2</v>
      </c>
      <c r="I24" s="1" t="s">
        <v>2</v>
      </c>
      <c r="J24" s="1" t="s">
        <v>2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2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3</v>
      </c>
      <c r="Y24" s="1" t="s">
        <v>3</v>
      </c>
      <c r="Z24">
        <f t="shared" si="0"/>
        <v>122.51</v>
      </c>
    </row>
    <row r="25" spans="2:26" x14ac:dyDescent="0.3">
      <c r="B25">
        <v>4</v>
      </c>
      <c r="C25">
        <v>57.1</v>
      </c>
      <c r="D25">
        <v>57.1</v>
      </c>
      <c r="E25">
        <v>57.1</v>
      </c>
      <c r="F25">
        <v>12296.9</v>
      </c>
      <c r="G25">
        <v>18.442</v>
      </c>
      <c r="H25" s="1" t="s">
        <v>2</v>
      </c>
      <c r="I25" s="1" t="s">
        <v>2</v>
      </c>
      <c r="J25" s="1" t="s">
        <v>2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2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>
        <f t="shared" si="0"/>
        <v>122.96899999999999</v>
      </c>
    </row>
    <row r="26" spans="2:26" x14ac:dyDescent="0.3">
      <c r="B26" s="2">
        <v>5</v>
      </c>
      <c r="C26" s="2">
        <v>58.9</v>
      </c>
      <c r="D26" s="2">
        <v>58.9</v>
      </c>
      <c r="E26" s="2">
        <v>58.9</v>
      </c>
      <c r="F26" s="2">
        <v>3890.5</v>
      </c>
      <c r="G26" s="2">
        <v>18.033000000000001</v>
      </c>
      <c r="H26" s="3" t="s">
        <v>2</v>
      </c>
      <c r="I26" s="3" t="s">
        <v>2</v>
      </c>
      <c r="J26" s="3" t="s">
        <v>2</v>
      </c>
      <c r="K26" s="3" t="s">
        <v>2</v>
      </c>
      <c r="L26" s="3" t="s">
        <v>2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  <c r="Z26" s="10">
        <f>F26/90</f>
        <v>43.227777777777774</v>
      </c>
    </row>
    <row r="27" spans="2:26" x14ac:dyDescent="0.3">
      <c r="B27">
        <v>5</v>
      </c>
      <c r="C27">
        <v>58.9</v>
      </c>
      <c r="D27">
        <v>58.9</v>
      </c>
      <c r="E27">
        <v>58.9</v>
      </c>
      <c r="F27">
        <v>3999.7</v>
      </c>
      <c r="G27">
        <v>18.039000000000001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3</v>
      </c>
      <c r="M27" s="1" t="s">
        <v>2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  <c r="Z27" s="10">
        <f t="shared" ref="Z27:Z90" si="1">F27/90</f>
        <v>44.441111111111113</v>
      </c>
    </row>
    <row r="28" spans="2:26" x14ac:dyDescent="0.3">
      <c r="B28">
        <v>5</v>
      </c>
      <c r="C28">
        <v>58.9</v>
      </c>
      <c r="D28">
        <v>58.9</v>
      </c>
      <c r="E28">
        <v>58.9</v>
      </c>
      <c r="F28">
        <v>4162</v>
      </c>
      <c r="G28">
        <v>18.045999999999999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3</v>
      </c>
      <c r="M28" s="1" t="s">
        <v>3</v>
      </c>
      <c r="N28" s="1" t="s">
        <v>2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  <c r="Z28" s="10">
        <f t="shared" si="1"/>
        <v>46.244444444444447</v>
      </c>
    </row>
    <row r="29" spans="2:26" x14ac:dyDescent="0.3">
      <c r="B29">
        <v>5</v>
      </c>
      <c r="C29">
        <v>58.9</v>
      </c>
      <c r="D29">
        <v>58.9</v>
      </c>
      <c r="E29">
        <v>58.9</v>
      </c>
      <c r="F29">
        <v>4243.2</v>
      </c>
      <c r="G29">
        <v>18.05</v>
      </c>
      <c r="H29" s="1" t="s">
        <v>2</v>
      </c>
      <c r="I29" s="1" t="s">
        <v>2</v>
      </c>
      <c r="J29" s="1" t="s">
        <v>2</v>
      </c>
      <c r="K29" s="1" t="s">
        <v>2</v>
      </c>
      <c r="L29" s="1" t="s">
        <v>3</v>
      </c>
      <c r="M29" s="1" t="s">
        <v>3</v>
      </c>
      <c r="N29" s="1" t="s">
        <v>3</v>
      </c>
      <c r="O29" s="1" t="s">
        <v>2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</v>
      </c>
      <c r="Y29" s="1" t="s">
        <v>3</v>
      </c>
      <c r="Z29" s="10">
        <f t="shared" si="1"/>
        <v>47.146666666666661</v>
      </c>
    </row>
    <row r="30" spans="2:26" x14ac:dyDescent="0.3">
      <c r="B30">
        <v>5</v>
      </c>
      <c r="C30">
        <v>58.8</v>
      </c>
      <c r="D30">
        <v>58.8</v>
      </c>
      <c r="E30">
        <v>58.8</v>
      </c>
      <c r="F30">
        <v>4442.2</v>
      </c>
      <c r="G30">
        <v>18.059999999999999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2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  <c r="Z30" s="10">
        <f t="shared" si="1"/>
        <v>49.357777777777777</v>
      </c>
    </row>
    <row r="31" spans="2:26" x14ac:dyDescent="0.3">
      <c r="B31" s="2">
        <v>6</v>
      </c>
      <c r="C31" s="2">
        <v>59.2</v>
      </c>
      <c r="D31" s="2">
        <v>59.2</v>
      </c>
      <c r="E31" s="2">
        <v>59.2</v>
      </c>
      <c r="F31" s="2">
        <v>2886.1</v>
      </c>
      <c r="G31" s="2">
        <v>17.984000000000002</v>
      </c>
      <c r="H31" s="3" t="s">
        <v>2</v>
      </c>
      <c r="I31" s="3" t="s">
        <v>2</v>
      </c>
      <c r="J31" s="3" t="s">
        <v>2</v>
      </c>
      <c r="K31" s="3" t="s">
        <v>2</v>
      </c>
      <c r="L31" s="3" t="s">
        <v>2</v>
      </c>
      <c r="M31" s="3" t="s">
        <v>2</v>
      </c>
      <c r="N31" s="3" t="s">
        <v>3</v>
      </c>
      <c r="O31" s="3" t="s">
        <v>3</v>
      </c>
      <c r="P31" s="3" t="s">
        <v>3</v>
      </c>
      <c r="Q31" s="3" t="s">
        <v>3</v>
      </c>
      <c r="R31" s="3" t="s">
        <v>3</v>
      </c>
      <c r="S31" s="3" t="s">
        <v>3</v>
      </c>
      <c r="T31" s="3" t="s">
        <v>3</v>
      </c>
      <c r="U31" s="3" t="s">
        <v>3</v>
      </c>
      <c r="V31" s="3" t="s">
        <v>3</v>
      </c>
      <c r="W31" s="3" t="s">
        <v>3</v>
      </c>
      <c r="X31" s="3" t="s">
        <v>3</v>
      </c>
      <c r="Y31" s="3" t="s">
        <v>3</v>
      </c>
      <c r="Z31" s="10">
        <f t="shared" si="1"/>
        <v>32.067777777777778</v>
      </c>
    </row>
    <row r="32" spans="2:26" x14ac:dyDescent="0.3">
      <c r="B32">
        <v>6</v>
      </c>
      <c r="C32">
        <v>59.1</v>
      </c>
      <c r="D32">
        <v>59.1</v>
      </c>
      <c r="E32">
        <v>59.1</v>
      </c>
      <c r="F32">
        <v>3067.3</v>
      </c>
      <c r="G32">
        <v>17.992999999999999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3</v>
      </c>
      <c r="N32" s="1" t="s">
        <v>2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3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  <c r="Z32" s="10">
        <f>F32/80</f>
        <v>38.341250000000002</v>
      </c>
    </row>
    <row r="33" spans="2:26" x14ac:dyDescent="0.3">
      <c r="B33">
        <v>6</v>
      </c>
      <c r="C33">
        <v>59.1</v>
      </c>
      <c r="D33">
        <v>59.1</v>
      </c>
      <c r="E33">
        <v>59.1</v>
      </c>
      <c r="F33">
        <v>3096.5</v>
      </c>
      <c r="G33">
        <v>17.994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3</v>
      </c>
      <c r="N33" s="1" t="s">
        <v>3</v>
      </c>
      <c r="O33" s="1" t="s">
        <v>2</v>
      </c>
      <c r="P33" s="1" t="s">
        <v>3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  <c r="Z33" s="10">
        <f t="shared" ref="Z33:Z91" si="2">F33/80</f>
        <v>38.706249999999997</v>
      </c>
    </row>
    <row r="34" spans="2:26" x14ac:dyDescent="0.3">
      <c r="B34">
        <v>6</v>
      </c>
      <c r="C34">
        <v>59.1</v>
      </c>
      <c r="D34">
        <v>59.1</v>
      </c>
      <c r="E34">
        <v>59.1</v>
      </c>
      <c r="F34">
        <v>3272.2</v>
      </c>
      <c r="G34">
        <v>18.003</v>
      </c>
      <c r="H34" s="1" t="s">
        <v>2</v>
      </c>
      <c r="I34" s="1" t="s">
        <v>2</v>
      </c>
      <c r="J34" s="1" t="s">
        <v>2</v>
      </c>
      <c r="K34" s="1" t="s">
        <v>2</v>
      </c>
      <c r="L34" s="1" t="s">
        <v>3</v>
      </c>
      <c r="M34" s="1" t="s">
        <v>2</v>
      </c>
      <c r="N34" s="1" t="s">
        <v>2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U34" s="1" t="s">
        <v>3</v>
      </c>
      <c r="V34" s="1" t="s">
        <v>3</v>
      </c>
      <c r="W34" s="1" t="s">
        <v>3</v>
      </c>
      <c r="X34" s="1" t="s">
        <v>3</v>
      </c>
      <c r="Y34" s="1" t="s">
        <v>3</v>
      </c>
      <c r="Z34" s="10">
        <f t="shared" si="2"/>
        <v>40.902499999999996</v>
      </c>
    </row>
    <row r="35" spans="2:26" x14ac:dyDescent="0.3">
      <c r="B35">
        <v>6</v>
      </c>
      <c r="C35">
        <v>59.1</v>
      </c>
      <c r="D35">
        <v>59.1</v>
      </c>
      <c r="E35">
        <v>59.1</v>
      </c>
      <c r="F35">
        <v>3355.1</v>
      </c>
      <c r="G35">
        <v>18.007000000000001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3</v>
      </c>
      <c r="N35" s="1" t="s">
        <v>3</v>
      </c>
      <c r="O35" s="1" t="s">
        <v>3</v>
      </c>
      <c r="P35" s="1" t="s">
        <v>2</v>
      </c>
      <c r="Q35" s="1" t="s">
        <v>3</v>
      </c>
      <c r="R35" s="1" t="s">
        <v>3</v>
      </c>
      <c r="S35" s="1" t="s">
        <v>3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</v>
      </c>
      <c r="Y35" s="1" t="s">
        <v>3</v>
      </c>
      <c r="Z35" s="10">
        <f t="shared" si="2"/>
        <v>41.938749999999999</v>
      </c>
    </row>
    <row r="36" spans="2:26" x14ac:dyDescent="0.3">
      <c r="B36" s="2">
        <v>7</v>
      </c>
      <c r="C36" s="2">
        <v>59.3</v>
      </c>
      <c r="D36" s="2">
        <v>59.3</v>
      </c>
      <c r="E36" s="2">
        <v>59.3</v>
      </c>
      <c r="F36" s="2">
        <v>2142.6999999999998</v>
      </c>
      <c r="G36" s="2">
        <v>17.946999999999999</v>
      </c>
      <c r="H36" s="3" t="s">
        <v>2</v>
      </c>
      <c r="I36" s="3" t="s">
        <v>2</v>
      </c>
      <c r="J36" s="3" t="s">
        <v>2</v>
      </c>
      <c r="K36" s="3" t="s">
        <v>2</v>
      </c>
      <c r="L36" s="3" t="s">
        <v>2</v>
      </c>
      <c r="M36" s="3" t="s">
        <v>2</v>
      </c>
      <c r="N36" s="3" t="s">
        <v>2</v>
      </c>
      <c r="O36" s="3" t="s">
        <v>3</v>
      </c>
      <c r="P36" s="3" t="s">
        <v>3</v>
      </c>
      <c r="Q36" s="3" t="s">
        <v>3</v>
      </c>
      <c r="R36" s="3" t="s">
        <v>3</v>
      </c>
      <c r="S36" s="3" t="s">
        <v>3</v>
      </c>
      <c r="T36" s="3" t="s">
        <v>3</v>
      </c>
      <c r="U36" s="3" t="s">
        <v>3</v>
      </c>
      <c r="V36" s="3" t="s">
        <v>3</v>
      </c>
      <c r="W36" s="3" t="s">
        <v>3</v>
      </c>
      <c r="X36" s="3" t="s">
        <v>3</v>
      </c>
      <c r="Y36" s="3" t="s">
        <v>3</v>
      </c>
      <c r="Z36" s="10">
        <f t="shared" si="2"/>
        <v>26.783749999999998</v>
      </c>
    </row>
    <row r="37" spans="2:26" x14ac:dyDescent="0.3">
      <c r="B37">
        <v>7</v>
      </c>
      <c r="C37">
        <v>59.3</v>
      </c>
      <c r="D37">
        <v>59.3</v>
      </c>
      <c r="E37">
        <v>59.3</v>
      </c>
      <c r="F37">
        <v>2185.8000000000002</v>
      </c>
      <c r="G37">
        <v>17.949000000000002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3</v>
      </c>
      <c r="N37" s="1" t="s">
        <v>2</v>
      </c>
      <c r="O37" s="1" t="s">
        <v>2</v>
      </c>
      <c r="P37" s="1" t="s">
        <v>3</v>
      </c>
      <c r="Q37" s="1" t="s">
        <v>3</v>
      </c>
      <c r="R37" s="1" t="s">
        <v>3</v>
      </c>
      <c r="S37" s="1" t="s">
        <v>3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</v>
      </c>
      <c r="Y37" s="1" t="s">
        <v>3</v>
      </c>
      <c r="Z37" s="10">
        <f t="shared" si="2"/>
        <v>27.322500000000002</v>
      </c>
    </row>
    <row r="38" spans="2:26" x14ac:dyDescent="0.3">
      <c r="B38">
        <v>7</v>
      </c>
      <c r="C38">
        <v>59.3</v>
      </c>
      <c r="D38">
        <v>59.3</v>
      </c>
      <c r="E38">
        <v>59.3</v>
      </c>
      <c r="F38">
        <v>2234.6</v>
      </c>
      <c r="G38">
        <v>17.951000000000001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3</v>
      </c>
      <c r="O38" s="1" t="s">
        <v>2</v>
      </c>
      <c r="P38" s="1" t="s">
        <v>3</v>
      </c>
      <c r="Q38" s="1" t="s">
        <v>3</v>
      </c>
      <c r="R38" s="1" t="s">
        <v>3</v>
      </c>
      <c r="S38" s="1" t="s">
        <v>3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</v>
      </c>
      <c r="Y38" s="1" t="s">
        <v>3</v>
      </c>
      <c r="Z38" s="10">
        <f t="shared" si="2"/>
        <v>27.932499999999997</v>
      </c>
    </row>
    <row r="39" spans="2:26" x14ac:dyDescent="0.3">
      <c r="B39">
        <v>7</v>
      </c>
      <c r="C39">
        <v>59.3</v>
      </c>
      <c r="D39">
        <v>59.3</v>
      </c>
      <c r="E39">
        <v>59.3</v>
      </c>
      <c r="F39">
        <v>2359.5</v>
      </c>
      <c r="G39">
        <v>17.957999999999998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3</v>
      </c>
      <c r="O39" s="1" t="s">
        <v>3</v>
      </c>
      <c r="P39" s="1" t="s">
        <v>2</v>
      </c>
      <c r="Q39" s="1" t="s">
        <v>3</v>
      </c>
      <c r="R39" s="1" t="s">
        <v>3</v>
      </c>
      <c r="S39" s="1" t="s">
        <v>3</v>
      </c>
      <c r="T39" s="1" t="s">
        <v>3</v>
      </c>
      <c r="U39" s="1" t="s">
        <v>3</v>
      </c>
      <c r="V39" s="1" t="s">
        <v>3</v>
      </c>
      <c r="W39" s="1" t="s">
        <v>3</v>
      </c>
      <c r="X39" s="1" t="s">
        <v>3</v>
      </c>
      <c r="Y39" s="1" t="s">
        <v>3</v>
      </c>
      <c r="Z39" s="10">
        <f t="shared" si="2"/>
        <v>29.493749999999999</v>
      </c>
    </row>
    <row r="40" spans="2:26" x14ac:dyDescent="0.3">
      <c r="B40">
        <v>7</v>
      </c>
      <c r="C40">
        <v>59.2</v>
      </c>
      <c r="D40">
        <v>59.2</v>
      </c>
      <c r="E40">
        <v>59.2</v>
      </c>
      <c r="F40">
        <v>2592.6</v>
      </c>
      <c r="G40">
        <v>17.969000000000001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3</v>
      </c>
      <c r="N40" s="1" t="s">
        <v>2</v>
      </c>
      <c r="O40" s="1" t="s">
        <v>3</v>
      </c>
      <c r="P40" s="1" t="s">
        <v>2</v>
      </c>
      <c r="Q40" s="1" t="s">
        <v>3</v>
      </c>
      <c r="R40" s="1" t="s">
        <v>3</v>
      </c>
      <c r="S40" s="1" t="s">
        <v>3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</v>
      </c>
      <c r="Y40" s="1" t="s">
        <v>3</v>
      </c>
      <c r="Z40" s="10">
        <f t="shared" si="2"/>
        <v>32.407499999999999</v>
      </c>
    </row>
    <row r="41" spans="2:26" x14ac:dyDescent="0.3">
      <c r="B41" s="2">
        <v>8</v>
      </c>
      <c r="C41" s="2">
        <v>59.5</v>
      </c>
      <c r="D41" s="2">
        <v>59.5</v>
      </c>
      <c r="E41" s="2">
        <v>59.5</v>
      </c>
      <c r="F41" s="2">
        <v>1409.3</v>
      </c>
      <c r="G41" s="2">
        <v>17.911000000000001</v>
      </c>
      <c r="H41" s="3" t="s">
        <v>2</v>
      </c>
      <c r="I41" s="3" t="s">
        <v>2</v>
      </c>
      <c r="J41" s="3" t="s">
        <v>2</v>
      </c>
      <c r="K41" s="3" t="s">
        <v>2</v>
      </c>
      <c r="L41" s="3" t="s">
        <v>2</v>
      </c>
      <c r="M41" s="3" t="s">
        <v>2</v>
      </c>
      <c r="N41" s="3" t="s">
        <v>2</v>
      </c>
      <c r="O41" s="3" t="s">
        <v>2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10">
        <f t="shared" si="2"/>
        <v>17.616250000000001</v>
      </c>
    </row>
    <row r="42" spans="2:26" x14ac:dyDescent="0.3">
      <c r="B42">
        <v>8</v>
      </c>
      <c r="C42">
        <v>59.4</v>
      </c>
      <c r="D42">
        <v>59.4</v>
      </c>
      <c r="E42">
        <v>59.4</v>
      </c>
      <c r="F42">
        <v>1673.1</v>
      </c>
      <c r="G42">
        <v>17.923999999999999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3</v>
      </c>
      <c r="P42" s="1" t="s">
        <v>2</v>
      </c>
      <c r="Q42" s="1" t="s">
        <v>3</v>
      </c>
      <c r="R42" s="1" t="s">
        <v>3</v>
      </c>
      <c r="S42" s="1" t="s">
        <v>3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</v>
      </c>
      <c r="Y42" s="1" t="s">
        <v>3</v>
      </c>
      <c r="Z42" s="10">
        <f t="shared" si="2"/>
        <v>20.91375</v>
      </c>
    </row>
    <row r="43" spans="2:26" x14ac:dyDescent="0.3">
      <c r="B43">
        <v>8</v>
      </c>
      <c r="C43">
        <v>59.4</v>
      </c>
      <c r="D43">
        <v>59.4</v>
      </c>
      <c r="E43">
        <v>59.4</v>
      </c>
      <c r="F43">
        <v>1741.7</v>
      </c>
      <c r="G43">
        <v>17.927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3</v>
      </c>
      <c r="O43" s="1" t="s">
        <v>2</v>
      </c>
      <c r="P43" s="1" t="s">
        <v>2</v>
      </c>
      <c r="Q43" s="1" t="s">
        <v>3</v>
      </c>
      <c r="R43" s="1" t="s">
        <v>3</v>
      </c>
      <c r="S43" s="1" t="s">
        <v>3</v>
      </c>
      <c r="T43" s="1" t="s">
        <v>3</v>
      </c>
      <c r="U43" s="1" t="s">
        <v>3</v>
      </c>
      <c r="V43" s="1" t="s">
        <v>3</v>
      </c>
      <c r="W43" s="1" t="s">
        <v>3</v>
      </c>
      <c r="X43" s="1" t="s">
        <v>3</v>
      </c>
      <c r="Y43" s="1" t="s">
        <v>3</v>
      </c>
      <c r="Z43" s="10">
        <f t="shared" si="2"/>
        <v>21.771250000000002</v>
      </c>
    </row>
    <row r="44" spans="2:26" x14ac:dyDescent="0.3">
      <c r="B44">
        <v>8</v>
      </c>
      <c r="C44">
        <v>59.4</v>
      </c>
      <c r="D44">
        <v>59.4</v>
      </c>
      <c r="E44">
        <v>59.4</v>
      </c>
      <c r="F44">
        <v>1751.8</v>
      </c>
      <c r="G44">
        <v>17.927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3</v>
      </c>
      <c r="N44" s="1" t="s">
        <v>2</v>
      </c>
      <c r="O44" s="1" t="s">
        <v>2</v>
      </c>
      <c r="P44" s="1" t="s">
        <v>2</v>
      </c>
      <c r="Q44" s="1" t="s">
        <v>3</v>
      </c>
      <c r="R44" s="1" t="s">
        <v>3</v>
      </c>
      <c r="S44" s="1" t="s">
        <v>3</v>
      </c>
      <c r="T44" s="1" t="s">
        <v>3</v>
      </c>
      <c r="U44" s="1" t="s">
        <v>3</v>
      </c>
      <c r="V44" s="1" t="s">
        <v>3</v>
      </c>
      <c r="W44" s="1" t="s">
        <v>3</v>
      </c>
      <c r="X44" s="1" t="s">
        <v>3</v>
      </c>
      <c r="Y44" s="1" t="s">
        <v>3</v>
      </c>
      <c r="Z44" s="10">
        <f t="shared" si="2"/>
        <v>21.897500000000001</v>
      </c>
    </row>
    <row r="45" spans="2:26" x14ac:dyDescent="0.3">
      <c r="B45">
        <v>8</v>
      </c>
      <c r="C45">
        <v>59.4</v>
      </c>
      <c r="D45">
        <v>59.4</v>
      </c>
      <c r="E45">
        <v>59.4</v>
      </c>
      <c r="F45">
        <v>1755.3</v>
      </c>
      <c r="G45">
        <v>17.928000000000001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3</v>
      </c>
      <c r="O45" s="1" t="s">
        <v>3</v>
      </c>
      <c r="P45" s="1" t="s">
        <v>2</v>
      </c>
      <c r="Q45" s="1" t="s">
        <v>2</v>
      </c>
      <c r="R45" s="1" t="s">
        <v>3</v>
      </c>
      <c r="S45" s="1" t="s">
        <v>3</v>
      </c>
      <c r="T45" s="1" t="s">
        <v>3</v>
      </c>
      <c r="U45" s="1" t="s">
        <v>3</v>
      </c>
      <c r="V45" s="1" t="s">
        <v>3</v>
      </c>
      <c r="W45" s="1" t="s">
        <v>3</v>
      </c>
      <c r="X45" s="1" t="s">
        <v>3</v>
      </c>
      <c r="Y45" s="1" t="s">
        <v>3</v>
      </c>
      <c r="Z45" s="10">
        <f t="shared" si="2"/>
        <v>21.94125</v>
      </c>
    </row>
    <row r="46" spans="2:26" x14ac:dyDescent="0.3">
      <c r="B46" s="2">
        <v>9</v>
      </c>
      <c r="C46" s="2">
        <v>59.6</v>
      </c>
      <c r="D46" s="2">
        <v>59.6</v>
      </c>
      <c r="E46" s="2">
        <v>59.6</v>
      </c>
      <c r="F46" s="2">
        <v>976.5</v>
      </c>
      <c r="G46" s="2">
        <v>17.888999999999999</v>
      </c>
      <c r="H46" s="3" t="s">
        <v>2</v>
      </c>
      <c r="I46" s="3" t="s">
        <v>2</v>
      </c>
      <c r="J46" s="3" t="s">
        <v>2</v>
      </c>
      <c r="K46" s="3" t="s">
        <v>2</v>
      </c>
      <c r="L46" s="3" t="s">
        <v>2</v>
      </c>
      <c r="M46" s="3" t="s">
        <v>2</v>
      </c>
      <c r="N46" s="3" t="s">
        <v>2</v>
      </c>
      <c r="O46" s="3" t="s">
        <v>2</v>
      </c>
      <c r="P46" s="3" t="s">
        <v>2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10">
        <f>F46/50</f>
        <v>19.53</v>
      </c>
    </row>
    <row r="47" spans="2:26" x14ac:dyDescent="0.3">
      <c r="B47">
        <v>9</v>
      </c>
      <c r="C47">
        <v>59.6</v>
      </c>
      <c r="D47">
        <v>59.6</v>
      </c>
      <c r="E47">
        <v>59.6</v>
      </c>
      <c r="F47">
        <v>1114.0999999999999</v>
      </c>
      <c r="G47">
        <v>17.896000000000001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3</v>
      </c>
      <c r="P47" s="1" t="s">
        <v>2</v>
      </c>
      <c r="Q47" s="1" t="s">
        <v>2</v>
      </c>
      <c r="R47" s="1" t="s">
        <v>3</v>
      </c>
      <c r="S47" s="1" t="s">
        <v>3</v>
      </c>
      <c r="T47" s="1" t="s">
        <v>3</v>
      </c>
      <c r="U47" s="1" t="s">
        <v>3</v>
      </c>
      <c r="V47" s="1" t="s">
        <v>3</v>
      </c>
      <c r="W47" s="1" t="s">
        <v>3</v>
      </c>
      <c r="X47" s="1" t="s">
        <v>3</v>
      </c>
      <c r="Y47" s="1" t="s">
        <v>3</v>
      </c>
      <c r="Z47" s="10">
        <f t="shared" si="2"/>
        <v>13.92625</v>
      </c>
    </row>
    <row r="48" spans="2:26" x14ac:dyDescent="0.3">
      <c r="B48">
        <v>9</v>
      </c>
      <c r="C48">
        <v>59.5</v>
      </c>
      <c r="D48">
        <v>59.5</v>
      </c>
      <c r="E48">
        <v>59.5</v>
      </c>
      <c r="F48">
        <v>1204.5</v>
      </c>
      <c r="G48">
        <v>17.899999999999999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3</v>
      </c>
      <c r="Q48" s="1" t="s">
        <v>2</v>
      </c>
      <c r="R48" s="1" t="s">
        <v>3</v>
      </c>
      <c r="S48" s="1" t="s">
        <v>3</v>
      </c>
      <c r="T48" s="1" t="s">
        <v>3</v>
      </c>
      <c r="U48" s="1" t="s">
        <v>3</v>
      </c>
      <c r="V48" s="1" t="s">
        <v>3</v>
      </c>
      <c r="W48" s="1" t="s">
        <v>3</v>
      </c>
      <c r="X48" s="1" t="s">
        <v>3</v>
      </c>
      <c r="Y48" s="1" t="s">
        <v>3</v>
      </c>
      <c r="Z48" s="10">
        <f t="shared" si="2"/>
        <v>15.05625</v>
      </c>
    </row>
    <row r="49" spans="2:26" x14ac:dyDescent="0.3">
      <c r="B49">
        <v>9</v>
      </c>
      <c r="C49">
        <v>59.5</v>
      </c>
      <c r="D49">
        <v>59.5</v>
      </c>
      <c r="E49">
        <v>59.5</v>
      </c>
      <c r="F49">
        <v>1205.4000000000001</v>
      </c>
      <c r="G49">
        <v>17.899999999999999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3</v>
      </c>
      <c r="O49" s="1" t="s">
        <v>2</v>
      </c>
      <c r="P49" s="1" t="s">
        <v>2</v>
      </c>
      <c r="Q49" s="1" t="s">
        <v>2</v>
      </c>
      <c r="R49" s="1" t="s">
        <v>3</v>
      </c>
      <c r="S49" s="1" t="s">
        <v>3</v>
      </c>
      <c r="T49" s="1" t="s">
        <v>3</v>
      </c>
      <c r="U49" s="1" t="s">
        <v>3</v>
      </c>
      <c r="V49" s="1" t="s">
        <v>3</v>
      </c>
      <c r="W49" s="1" t="s">
        <v>3</v>
      </c>
      <c r="X49" s="1" t="s">
        <v>3</v>
      </c>
      <c r="Y49" s="1" t="s">
        <v>3</v>
      </c>
      <c r="Z49" s="10">
        <f t="shared" si="2"/>
        <v>15.067500000000001</v>
      </c>
    </row>
    <row r="50" spans="2:26" x14ac:dyDescent="0.3">
      <c r="B50">
        <v>9</v>
      </c>
      <c r="C50">
        <v>59.5</v>
      </c>
      <c r="D50">
        <v>59.5</v>
      </c>
      <c r="E50">
        <v>59.5</v>
      </c>
      <c r="F50">
        <v>1215.5999999999999</v>
      </c>
      <c r="G50">
        <v>17.901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3</v>
      </c>
      <c r="Q50" s="1" t="s">
        <v>3</v>
      </c>
      <c r="R50" s="1" t="s">
        <v>2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  <c r="Z50" s="10">
        <f t="shared" si="2"/>
        <v>15.194999999999999</v>
      </c>
    </row>
    <row r="51" spans="2:26" x14ac:dyDescent="0.3">
      <c r="B51" s="2">
        <v>10</v>
      </c>
      <c r="C51" s="2">
        <v>59.7</v>
      </c>
      <c r="D51" s="2">
        <v>59.7</v>
      </c>
      <c r="E51" s="2">
        <v>59.7</v>
      </c>
      <c r="F51" s="2">
        <v>489.2</v>
      </c>
      <c r="G51" s="2">
        <v>17.864999999999998</v>
      </c>
      <c r="H51" s="3" t="s">
        <v>2</v>
      </c>
      <c r="I51" s="3" t="s">
        <v>2</v>
      </c>
      <c r="J51" s="3" t="s">
        <v>2</v>
      </c>
      <c r="K51" s="3" t="s">
        <v>2</v>
      </c>
      <c r="L51" s="3" t="s">
        <v>2</v>
      </c>
      <c r="M51" s="3" t="s">
        <v>2</v>
      </c>
      <c r="N51" s="3" t="s">
        <v>2</v>
      </c>
      <c r="O51" s="3" t="s">
        <v>2</v>
      </c>
      <c r="P51" s="3" t="s">
        <v>2</v>
      </c>
      <c r="Q51" s="3" t="s">
        <v>2</v>
      </c>
      <c r="R51" s="3" t="s">
        <v>3</v>
      </c>
      <c r="S51" s="3" t="s">
        <v>3</v>
      </c>
      <c r="T51" s="3" t="s">
        <v>3</v>
      </c>
      <c r="U51" s="3" t="s">
        <v>3</v>
      </c>
      <c r="V51" s="3" t="s">
        <v>3</v>
      </c>
      <c r="W51" s="3" t="s">
        <v>3</v>
      </c>
      <c r="X51" s="3" t="s">
        <v>3</v>
      </c>
      <c r="Y51" s="3" t="s">
        <v>3</v>
      </c>
      <c r="Z51" s="10">
        <f>F51/30</f>
        <v>16.306666666666665</v>
      </c>
    </row>
    <row r="52" spans="2:26" x14ac:dyDescent="0.3">
      <c r="B52">
        <v>10</v>
      </c>
      <c r="C52">
        <v>59.6</v>
      </c>
      <c r="D52">
        <v>59.6</v>
      </c>
      <c r="E52">
        <v>59.6</v>
      </c>
      <c r="F52">
        <v>784.7</v>
      </c>
      <c r="G52">
        <v>17.879000000000001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3</v>
      </c>
      <c r="R52" s="1" t="s">
        <v>2</v>
      </c>
      <c r="S52" s="1" t="s">
        <v>3</v>
      </c>
      <c r="T52" s="1" t="s">
        <v>3</v>
      </c>
      <c r="U52" s="1" t="s">
        <v>3</v>
      </c>
      <c r="V52" s="1" t="s">
        <v>3</v>
      </c>
      <c r="W52" s="1" t="s">
        <v>3</v>
      </c>
      <c r="X52" s="1" t="s">
        <v>3</v>
      </c>
      <c r="Y52" s="1" t="s">
        <v>3</v>
      </c>
      <c r="Z52" s="10">
        <f>F52/35</f>
        <v>22.42</v>
      </c>
    </row>
    <row r="53" spans="2:26" x14ac:dyDescent="0.3">
      <c r="B53">
        <v>10</v>
      </c>
      <c r="C53">
        <v>59.6</v>
      </c>
      <c r="D53">
        <v>59.6</v>
      </c>
      <c r="E53">
        <v>59.6</v>
      </c>
      <c r="F53">
        <v>870.8</v>
      </c>
      <c r="G53">
        <v>17.884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3</v>
      </c>
      <c r="R53" s="1" t="s">
        <v>3</v>
      </c>
      <c r="S53" s="1" t="s">
        <v>2</v>
      </c>
      <c r="T53" s="1" t="s">
        <v>3</v>
      </c>
      <c r="U53" s="1" t="s">
        <v>3</v>
      </c>
      <c r="V53" s="1" t="s">
        <v>3</v>
      </c>
      <c r="W53" s="1" t="s">
        <v>3</v>
      </c>
      <c r="X53" s="1" t="s">
        <v>3</v>
      </c>
      <c r="Y53" s="1" t="s">
        <v>3</v>
      </c>
      <c r="Z53" s="10">
        <f t="shared" ref="Z53:Z55" si="3">F53/35</f>
        <v>24.88</v>
      </c>
    </row>
    <row r="54" spans="2:26" x14ac:dyDescent="0.3">
      <c r="B54">
        <v>10</v>
      </c>
      <c r="C54">
        <v>59.6</v>
      </c>
      <c r="D54">
        <v>59.6</v>
      </c>
      <c r="E54">
        <v>59.6</v>
      </c>
      <c r="F54">
        <v>923.6</v>
      </c>
      <c r="G54">
        <v>17.885999999999999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3</v>
      </c>
      <c r="R54" s="1" t="s">
        <v>3</v>
      </c>
      <c r="S54" s="1" t="s">
        <v>3</v>
      </c>
      <c r="T54" s="1" t="s">
        <v>2</v>
      </c>
      <c r="U54" s="1" t="s">
        <v>3</v>
      </c>
      <c r="V54" s="1" t="s">
        <v>3</v>
      </c>
      <c r="W54" s="1" t="s">
        <v>3</v>
      </c>
      <c r="X54" s="1" t="s">
        <v>3</v>
      </c>
      <c r="Y54" s="1" t="s">
        <v>3</v>
      </c>
      <c r="Z54" s="10">
        <f t="shared" si="3"/>
        <v>26.388571428571428</v>
      </c>
    </row>
    <row r="55" spans="2:26" ht="15" thickBot="1" x14ac:dyDescent="0.35">
      <c r="B55">
        <v>10</v>
      </c>
      <c r="C55">
        <v>59.6</v>
      </c>
      <c r="D55">
        <v>59.6</v>
      </c>
      <c r="E55">
        <v>59.6</v>
      </c>
      <c r="F55">
        <v>936</v>
      </c>
      <c r="G55">
        <v>17.887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3</v>
      </c>
      <c r="R55" s="1" t="s">
        <v>3</v>
      </c>
      <c r="S55" s="1" t="s">
        <v>3</v>
      </c>
      <c r="T55" s="1" t="s">
        <v>3</v>
      </c>
      <c r="U55" s="1" t="s">
        <v>2</v>
      </c>
      <c r="V55" s="1" t="s">
        <v>3</v>
      </c>
      <c r="W55" s="1" t="s">
        <v>3</v>
      </c>
      <c r="X55" s="1" t="s">
        <v>3</v>
      </c>
      <c r="Y55" s="1" t="s">
        <v>3</v>
      </c>
      <c r="Z55" s="10">
        <f t="shared" si="3"/>
        <v>26.742857142857144</v>
      </c>
    </row>
    <row r="56" spans="2:26" ht="15" thickBot="1" x14ac:dyDescent="0.35">
      <c r="B56" s="6">
        <v>11</v>
      </c>
      <c r="C56" s="7">
        <v>59.8</v>
      </c>
      <c r="D56" s="7">
        <v>59.8</v>
      </c>
      <c r="E56" s="7">
        <v>59.7</v>
      </c>
      <c r="F56" s="7">
        <v>13.2</v>
      </c>
      <c r="G56" s="7">
        <v>17.855</v>
      </c>
      <c r="H56" s="8" t="s">
        <v>2</v>
      </c>
      <c r="I56" s="8" t="s">
        <v>2</v>
      </c>
      <c r="J56" s="8" t="s">
        <v>2</v>
      </c>
      <c r="K56" s="8" t="s">
        <v>2</v>
      </c>
      <c r="L56" s="8" t="s">
        <v>2</v>
      </c>
      <c r="M56" s="8" t="s">
        <v>2</v>
      </c>
      <c r="N56" s="8" t="s">
        <v>2</v>
      </c>
      <c r="O56" s="8" t="s">
        <v>2</v>
      </c>
      <c r="P56" s="8" t="s">
        <v>2</v>
      </c>
      <c r="Q56" s="8" t="s">
        <v>2</v>
      </c>
      <c r="R56" s="8" t="s">
        <v>2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8" t="s">
        <v>3</v>
      </c>
      <c r="Y56" s="9" t="s">
        <v>3</v>
      </c>
      <c r="Z56" s="10">
        <f t="shared" si="2"/>
        <v>0.16499999999999998</v>
      </c>
    </row>
    <row r="57" spans="2:26" x14ac:dyDescent="0.3">
      <c r="B57">
        <v>11</v>
      </c>
      <c r="C57">
        <v>59.7</v>
      </c>
      <c r="D57">
        <v>59.7</v>
      </c>
      <c r="E57">
        <v>59.7</v>
      </c>
      <c r="F57">
        <v>360.4</v>
      </c>
      <c r="G57">
        <v>17.858000000000001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3</v>
      </c>
      <c r="S57" s="1" t="s">
        <v>2</v>
      </c>
      <c r="T57" s="1" t="s">
        <v>3</v>
      </c>
      <c r="U57" s="1" t="s">
        <v>3</v>
      </c>
      <c r="V57" s="1" t="s">
        <v>3</v>
      </c>
      <c r="W57" s="1" t="s">
        <v>3</v>
      </c>
      <c r="X57" s="1" t="s">
        <v>3</v>
      </c>
      <c r="Y57" s="1" t="s">
        <v>3</v>
      </c>
      <c r="Z57" s="10">
        <f t="shared" si="2"/>
        <v>4.5049999999999999</v>
      </c>
    </row>
    <row r="58" spans="2:26" x14ac:dyDescent="0.3">
      <c r="B58">
        <v>11</v>
      </c>
      <c r="C58">
        <v>59.7</v>
      </c>
      <c r="D58">
        <v>59.7</v>
      </c>
      <c r="E58">
        <v>59.7</v>
      </c>
      <c r="F58">
        <v>427.4</v>
      </c>
      <c r="G58">
        <v>17.861999999999998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3</v>
      </c>
      <c r="S58" s="1" t="s">
        <v>3</v>
      </c>
      <c r="T58" s="1" t="s">
        <v>2</v>
      </c>
      <c r="U58" s="1" t="s">
        <v>3</v>
      </c>
      <c r="V58" s="1" t="s">
        <v>3</v>
      </c>
      <c r="W58" s="1" t="s">
        <v>3</v>
      </c>
      <c r="X58" s="1" t="s">
        <v>3</v>
      </c>
      <c r="Y58" s="1" t="s">
        <v>3</v>
      </c>
      <c r="Z58" s="10">
        <f t="shared" si="2"/>
        <v>5.3424999999999994</v>
      </c>
    </row>
    <row r="59" spans="2:26" x14ac:dyDescent="0.3">
      <c r="B59">
        <v>11</v>
      </c>
      <c r="C59">
        <v>59.7</v>
      </c>
      <c r="D59">
        <v>59.7</v>
      </c>
      <c r="E59">
        <v>59.7</v>
      </c>
      <c r="F59">
        <v>444.8</v>
      </c>
      <c r="G59">
        <v>17.863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3</v>
      </c>
      <c r="S59" s="1" t="s">
        <v>3</v>
      </c>
      <c r="T59" s="1" t="s">
        <v>3</v>
      </c>
      <c r="U59" s="1" t="s">
        <v>2</v>
      </c>
      <c r="V59" s="1" t="s">
        <v>3</v>
      </c>
      <c r="W59" s="1" t="s">
        <v>3</v>
      </c>
      <c r="X59" s="1" t="s">
        <v>3</v>
      </c>
      <c r="Y59" s="1" t="s">
        <v>3</v>
      </c>
      <c r="Z59" s="10">
        <f t="shared" si="2"/>
        <v>5.5600000000000005</v>
      </c>
    </row>
    <row r="60" spans="2:26" x14ac:dyDescent="0.3">
      <c r="B60">
        <v>11</v>
      </c>
      <c r="C60">
        <v>59.7</v>
      </c>
      <c r="D60">
        <v>59.7</v>
      </c>
      <c r="E60">
        <v>59.7</v>
      </c>
      <c r="F60">
        <v>458</v>
      </c>
      <c r="G60">
        <v>17.863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3</v>
      </c>
      <c r="S60" s="1" t="s">
        <v>3</v>
      </c>
      <c r="T60" s="1" t="s">
        <v>3</v>
      </c>
      <c r="U60" s="1" t="s">
        <v>3</v>
      </c>
      <c r="V60" s="1" t="s">
        <v>2</v>
      </c>
      <c r="W60" s="1" t="s">
        <v>3</v>
      </c>
      <c r="X60" s="1" t="s">
        <v>3</v>
      </c>
      <c r="Y60" s="1" t="s">
        <v>3</v>
      </c>
      <c r="Z60" s="10">
        <f t="shared" si="2"/>
        <v>5.7249999999999996</v>
      </c>
    </row>
    <row r="61" spans="2:26" x14ac:dyDescent="0.3">
      <c r="B61" s="2">
        <v>12</v>
      </c>
      <c r="C61" s="2">
        <v>59.8</v>
      </c>
      <c r="D61" s="2">
        <v>59.8</v>
      </c>
      <c r="E61" s="2">
        <v>59.8</v>
      </c>
      <c r="F61" s="2">
        <v>181.4</v>
      </c>
      <c r="G61" s="2">
        <v>17.849</v>
      </c>
      <c r="H61" s="3" t="s">
        <v>2</v>
      </c>
      <c r="I61" s="3" t="s">
        <v>2</v>
      </c>
      <c r="J61" s="3" t="s">
        <v>2</v>
      </c>
      <c r="K61" s="3" t="s">
        <v>2</v>
      </c>
      <c r="L61" s="3" t="s">
        <v>2</v>
      </c>
      <c r="M61" s="3" t="s">
        <v>2</v>
      </c>
      <c r="N61" s="3" t="s">
        <v>2</v>
      </c>
      <c r="O61" s="3" t="s">
        <v>2</v>
      </c>
      <c r="P61" s="3" t="s">
        <v>2</v>
      </c>
      <c r="Q61" s="3" t="s">
        <v>2</v>
      </c>
      <c r="R61" s="3" t="s">
        <v>2</v>
      </c>
      <c r="S61" s="3" t="s">
        <v>2</v>
      </c>
      <c r="T61" s="3" t="s">
        <v>3</v>
      </c>
      <c r="U61" s="3" t="s">
        <v>3</v>
      </c>
      <c r="V61" s="3" t="s">
        <v>3</v>
      </c>
      <c r="W61" s="3" t="s">
        <v>3</v>
      </c>
      <c r="X61" s="3" t="s">
        <v>3</v>
      </c>
      <c r="Y61" s="3" t="s">
        <v>3</v>
      </c>
      <c r="Z61" s="10">
        <f t="shared" si="2"/>
        <v>2.2675000000000001</v>
      </c>
    </row>
    <row r="62" spans="2:26" x14ac:dyDescent="0.3">
      <c r="B62">
        <v>12</v>
      </c>
      <c r="C62">
        <v>59.8</v>
      </c>
      <c r="D62">
        <v>59.8</v>
      </c>
      <c r="E62">
        <v>59.8</v>
      </c>
      <c r="F62">
        <v>239.7</v>
      </c>
      <c r="G62">
        <v>17.852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3</v>
      </c>
      <c r="T62" s="1" t="s">
        <v>2</v>
      </c>
      <c r="U62" s="1" t="s">
        <v>3</v>
      </c>
      <c r="V62" s="1" t="s">
        <v>3</v>
      </c>
      <c r="W62" s="1" t="s">
        <v>3</v>
      </c>
      <c r="X62" s="1" t="s">
        <v>3</v>
      </c>
      <c r="Y62" s="1" t="s">
        <v>3</v>
      </c>
      <c r="Z62" s="10">
        <f t="shared" si="2"/>
        <v>2.9962499999999999</v>
      </c>
    </row>
    <row r="63" spans="2:26" x14ac:dyDescent="0.3">
      <c r="B63">
        <v>12</v>
      </c>
      <c r="C63">
        <v>59.8</v>
      </c>
      <c r="D63">
        <v>59.8</v>
      </c>
      <c r="E63">
        <v>59.8</v>
      </c>
      <c r="F63">
        <v>257.8</v>
      </c>
      <c r="G63">
        <v>17.853000000000002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2</v>
      </c>
      <c r="V63" s="1" t="s">
        <v>3</v>
      </c>
      <c r="W63" s="1" t="s">
        <v>3</v>
      </c>
      <c r="X63" s="1" t="s">
        <v>3</v>
      </c>
      <c r="Y63" s="1" t="s">
        <v>3</v>
      </c>
      <c r="Z63" s="10">
        <f t="shared" si="2"/>
        <v>3.2225000000000001</v>
      </c>
    </row>
    <row r="64" spans="2:26" x14ac:dyDescent="0.3">
      <c r="B64">
        <v>12</v>
      </c>
      <c r="C64">
        <v>59.8</v>
      </c>
      <c r="D64">
        <v>59.8</v>
      </c>
      <c r="E64">
        <v>59.8</v>
      </c>
      <c r="F64">
        <v>270.39999999999998</v>
      </c>
      <c r="G64">
        <v>17.853999999999999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3</v>
      </c>
      <c r="T64" s="1" t="s">
        <v>3</v>
      </c>
      <c r="U64" s="1" t="s">
        <v>3</v>
      </c>
      <c r="V64" s="1" t="s">
        <v>2</v>
      </c>
      <c r="W64" s="1" t="s">
        <v>3</v>
      </c>
      <c r="X64" s="1" t="s">
        <v>3</v>
      </c>
      <c r="Y64" s="1" t="s">
        <v>3</v>
      </c>
      <c r="Z64" s="10">
        <f t="shared" si="2"/>
        <v>3.38</v>
      </c>
    </row>
    <row r="65" spans="2:26" x14ac:dyDescent="0.3">
      <c r="B65">
        <v>12</v>
      </c>
      <c r="C65">
        <v>59.8</v>
      </c>
      <c r="D65">
        <v>59.8</v>
      </c>
      <c r="E65">
        <v>59.7</v>
      </c>
      <c r="F65">
        <v>296.3</v>
      </c>
      <c r="G65">
        <v>17.855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3</v>
      </c>
      <c r="T65" s="1" t="s">
        <v>3</v>
      </c>
      <c r="U65" s="1" t="s">
        <v>3</v>
      </c>
      <c r="V65" s="1" t="s">
        <v>3</v>
      </c>
      <c r="W65" s="1" t="s">
        <v>3</v>
      </c>
      <c r="X65" s="1" t="s">
        <v>3</v>
      </c>
      <c r="Y65" s="1" t="s">
        <v>2</v>
      </c>
      <c r="Z65" s="10">
        <f t="shared" si="2"/>
        <v>3.7037500000000003</v>
      </c>
    </row>
    <row r="66" spans="2:26" x14ac:dyDescent="0.3">
      <c r="B66" s="2">
        <v>13</v>
      </c>
      <c r="C66" s="2">
        <v>59.8</v>
      </c>
      <c r="D66" s="2">
        <v>59.8</v>
      </c>
      <c r="E66" s="2">
        <v>59.8</v>
      </c>
      <c r="F66" s="2">
        <v>124.4</v>
      </c>
      <c r="G66" s="2">
        <v>17.846</v>
      </c>
      <c r="H66" s="3" t="s">
        <v>2</v>
      </c>
      <c r="I66" s="3" t="s">
        <v>2</v>
      </c>
      <c r="J66" s="3" t="s">
        <v>2</v>
      </c>
      <c r="K66" s="3" t="s">
        <v>2</v>
      </c>
      <c r="L66" s="3" t="s">
        <v>2</v>
      </c>
      <c r="M66" s="3" t="s">
        <v>2</v>
      </c>
      <c r="N66" s="3" t="s">
        <v>2</v>
      </c>
      <c r="O66" s="3" t="s">
        <v>2</v>
      </c>
      <c r="P66" s="3" t="s">
        <v>2</v>
      </c>
      <c r="Q66" s="3" t="s">
        <v>2</v>
      </c>
      <c r="R66" s="3" t="s">
        <v>2</v>
      </c>
      <c r="S66" s="3" t="s">
        <v>2</v>
      </c>
      <c r="T66" s="3" t="s">
        <v>2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10">
        <f t="shared" si="2"/>
        <v>1.5550000000000002</v>
      </c>
    </row>
    <row r="67" spans="2:26" x14ac:dyDescent="0.3">
      <c r="B67">
        <v>13</v>
      </c>
      <c r="C67">
        <v>59.8</v>
      </c>
      <c r="D67">
        <v>59.8</v>
      </c>
      <c r="E67">
        <v>59.8</v>
      </c>
      <c r="F67">
        <v>134.69999999999999</v>
      </c>
      <c r="G67">
        <v>17.847000000000001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</v>
      </c>
      <c r="U67" s="1" t="s">
        <v>2</v>
      </c>
      <c r="V67" s="1" t="s">
        <v>3</v>
      </c>
      <c r="W67" s="1" t="s">
        <v>3</v>
      </c>
      <c r="X67" s="1" t="s">
        <v>3</v>
      </c>
      <c r="Y67" s="1" t="s">
        <v>3</v>
      </c>
      <c r="Z67" s="10">
        <f t="shared" si="2"/>
        <v>1.6837499999999999</v>
      </c>
    </row>
    <row r="68" spans="2:26" x14ac:dyDescent="0.3">
      <c r="B68">
        <v>13</v>
      </c>
      <c r="C68">
        <v>59.8</v>
      </c>
      <c r="D68">
        <v>59.8</v>
      </c>
      <c r="E68">
        <v>59.8</v>
      </c>
      <c r="F68">
        <v>149.4</v>
      </c>
      <c r="G68">
        <v>17.847999999999999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</v>
      </c>
      <c r="U68" s="1" t="s">
        <v>3</v>
      </c>
      <c r="V68" s="1" t="s">
        <v>2</v>
      </c>
      <c r="W68" s="1" t="s">
        <v>3</v>
      </c>
      <c r="X68" s="1" t="s">
        <v>3</v>
      </c>
      <c r="Y68" s="1" t="s">
        <v>3</v>
      </c>
      <c r="Z68" s="10">
        <f t="shared" si="2"/>
        <v>1.8675000000000002</v>
      </c>
    </row>
    <row r="69" spans="2:26" x14ac:dyDescent="0.3">
      <c r="B69">
        <v>13</v>
      </c>
      <c r="C69">
        <v>59.8</v>
      </c>
      <c r="D69">
        <v>59.8</v>
      </c>
      <c r="E69">
        <v>59.8</v>
      </c>
      <c r="F69">
        <v>157.69999999999999</v>
      </c>
      <c r="G69">
        <v>17.847999999999999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</v>
      </c>
      <c r="U69" s="1" t="s">
        <v>3</v>
      </c>
      <c r="V69" s="1" t="s">
        <v>3</v>
      </c>
      <c r="W69" s="1" t="s">
        <v>2</v>
      </c>
      <c r="X69" s="1" t="s">
        <v>3</v>
      </c>
      <c r="Y69" s="1" t="s">
        <v>3</v>
      </c>
      <c r="Z69" s="10">
        <f t="shared" si="2"/>
        <v>1.9712499999999999</v>
      </c>
    </row>
    <row r="70" spans="2:26" x14ac:dyDescent="0.3">
      <c r="B70">
        <v>13</v>
      </c>
      <c r="C70">
        <v>59.8</v>
      </c>
      <c r="D70">
        <v>59.8</v>
      </c>
      <c r="E70">
        <v>59.8</v>
      </c>
      <c r="F70">
        <v>176.2</v>
      </c>
      <c r="G70">
        <v>17.849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</v>
      </c>
      <c r="U70" s="1" t="s">
        <v>3</v>
      </c>
      <c r="V70" s="1" t="s">
        <v>3</v>
      </c>
      <c r="W70" s="1" t="s">
        <v>3</v>
      </c>
      <c r="X70" s="1" t="s">
        <v>3</v>
      </c>
      <c r="Y70" s="1" t="s">
        <v>2</v>
      </c>
      <c r="Z70" s="10">
        <f t="shared" si="2"/>
        <v>2.2024999999999997</v>
      </c>
    </row>
    <row r="71" spans="2:26" x14ac:dyDescent="0.3">
      <c r="B71" s="2">
        <v>14</v>
      </c>
      <c r="C71" s="2">
        <v>59.8</v>
      </c>
      <c r="D71" s="2">
        <v>59.8</v>
      </c>
      <c r="E71" s="2">
        <v>59.8</v>
      </c>
      <c r="F71" s="2">
        <v>77.599999999999994</v>
      </c>
      <c r="G71" s="2">
        <v>17.844000000000001</v>
      </c>
      <c r="H71" s="3" t="s">
        <v>2</v>
      </c>
      <c r="I71" s="3" t="s">
        <v>2</v>
      </c>
      <c r="J71" s="3" t="s">
        <v>2</v>
      </c>
      <c r="K71" s="3" t="s">
        <v>2</v>
      </c>
      <c r="L71" s="3" t="s">
        <v>2</v>
      </c>
      <c r="M71" s="3" t="s">
        <v>2</v>
      </c>
      <c r="N71" s="3" t="s">
        <v>2</v>
      </c>
      <c r="O71" s="3" t="s">
        <v>2</v>
      </c>
      <c r="P71" s="3" t="s">
        <v>2</v>
      </c>
      <c r="Q71" s="3" t="s">
        <v>2</v>
      </c>
      <c r="R71" s="3" t="s">
        <v>2</v>
      </c>
      <c r="S71" s="3" t="s">
        <v>2</v>
      </c>
      <c r="T71" s="3" t="s">
        <v>2</v>
      </c>
      <c r="U71" s="3" t="s">
        <v>2</v>
      </c>
      <c r="V71" s="3" t="s">
        <v>3</v>
      </c>
      <c r="W71" s="3" t="s">
        <v>3</v>
      </c>
      <c r="X71" s="3" t="s">
        <v>3</v>
      </c>
      <c r="Y71" s="3" t="s">
        <v>3</v>
      </c>
      <c r="Z71" s="10">
        <f t="shared" si="2"/>
        <v>0.97</v>
      </c>
    </row>
    <row r="72" spans="2:26" x14ac:dyDescent="0.3">
      <c r="B72">
        <v>14</v>
      </c>
      <c r="C72">
        <v>59.8</v>
      </c>
      <c r="D72">
        <v>59.8</v>
      </c>
      <c r="E72">
        <v>59.8</v>
      </c>
      <c r="F72">
        <v>92.7</v>
      </c>
      <c r="G72">
        <v>17.844999999999999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3</v>
      </c>
      <c r="V72" s="1" t="s">
        <v>2</v>
      </c>
      <c r="W72" s="1" t="s">
        <v>3</v>
      </c>
      <c r="X72" s="1" t="s">
        <v>3</v>
      </c>
      <c r="Y72" s="1" t="s">
        <v>3</v>
      </c>
      <c r="Z72" s="10">
        <f t="shared" si="2"/>
        <v>1.1587499999999999</v>
      </c>
    </row>
    <row r="73" spans="2:26" x14ac:dyDescent="0.3">
      <c r="B73">
        <v>14</v>
      </c>
      <c r="C73">
        <v>59.8</v>
      </c>
      <c r="D73">
        <v>59.8</v>
      </c>
      <c r="E73">
        <v>59.8</v>
      </c>
      <c r="F73">
        <v>100.1</v>
      </c>
      <c r="G73">
        <v>17.844999999999999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3</v>
      </c>
      <c r="V73" s="1" t="s">
        <v>3</v>
      </c>
      <c r="W73" s="1" t="s">
        <v>2</v>
      </c>
      <c r="X73" s="1" t="s">
        <v>3</v>
      </c>
      <c r="Y73" s="1" t="s">
        <v>3</v>
      </c>
      <c r="Z73" s="10">
        <f t="shared" si="2"/>
        <v>1.25125</v>
      </c>
    </row>
    <row r="74" spans="2:26" x14ac:dyDescent="0.3">
      <c r="B74">
        <v>14</v>
      </c>
      <c r="C74">
        <v>59.8</v>
      </c>
      <c r="D74">
        <v>59.8</v>
      </c>
      <c r="E74">
        <v>59.8</v>
      </c>
      <c r="F74">
        <v>104.8</v>
      </c>
      <c r="G74">
        <v>17.844999999999999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</v>
      </c>
      <c r="U74" s="1" t="s">
        <v>2</v>
      </c>
      <c r="V74" s="1" t="s">
        <v>2</v>
      </c>
      <c r="W74" s="1" t="s">
        <v>3</v>
      </c>
      <c r="X74" s="1" t="s">
        <v>3</v>
      </c>
      <c r="Y74" s="1" t="s">
        <v>3</v>
      </c>
      <c r="Z74" s="10">
        <f t="shared" si="2"/>
        <v>1.31</v>
      </c>
    </row>
    <row r="75" spans="2:26" x14ac:dyDescent="0.3">
      <c r="B75">
        <v>14</v>
      </c>
      <c r="C75">
        <v>59.8</v>
      </c>
      <c r="D75">
        <v>59.8</v>
      </c>
      <c r="E75">
        <v>59.8</v>
      </c>
      <c r="F75">
        <v>110.2</v>
      </c>
      <c r="G75">
        <v>17.846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</v>
      </c>
      <c r="U75" s="1" t="s">
        <v>2</v>
      </c>
      <c r="V75" s="1" t="s">
        <v>3</v>
      </c>
      <c r="W75" s="1" t="s">
        <v>2</v>
      </c>
      <c r="X75" s="1" t="s">
        <v>3</v>
      </c>
      <c r="Y75" s="1" t="s">
        <v>3</v>
      </c>
      <c r="Z75" s="10">
        <f t="shared" si="2"/>
        <v>1.3774999999999999</v>
      </c>
    </row>
    <row r="76" spans="2:26" x14ac:dyDescent="0.3">
      <c r="B76" s="2">
        <v>15</v>
      </c>
      <c r="C76" s="2">
        <v>59.8</v>
      </c>
      <c r="D76" s="2">
        <v>59.8</v>
      </c>
      <c r="E76" s="2">
        <v>59.8</v>
      </c>
      <c r="F76" s="2">
        <v>47.9</v>
      </c>
      <c r="G76" s="2">
        <v>17.843</v>
      </c>
      <c r="H76" s="3" t="s">
        <v>2</v>
      </c>
      <c r="I76" s="3" t="s">
        <v>2</v>
      </c>
      <c r="J76" s="3" t="s">
        <v>2</v>
      </c>
      <c r="K76" s="3" t="s">
        <v>2</v>
      </c>
      <c r="L76" s="3" t="s">
        <v>2</v>
      </c>
      <c r="M76" s="3" t="s">
        <v>2</v>
      </c>
      <c r="N76" s="3" t="s">
        <v>2</v>
      </c>
      <c r="O76" s="3" t="s">
        <v>2</v>
      </c>
      <c r="P76" s="3" t="s">
        <v>2</v>
      </c>
      <c r="Q76" s="3" t="s">
        <v>2</v>
      </c>
      <c r="R76" s="3" t="s">
        <v>2</v>
      </c>
      <c r="S76" s="3" t="s">
        <v>2</v>
      </c>
      <c r="T76" s="3" t="s">
        <v>2</v>
      </c>
      <c r="U76" s="3" t="s">
        <v>2</v>
      </c>
      <c r="V76" s="3" t="s">
        <v>2</v>
      </c>
      <c r="W76" s="3" t="s">
        <v>3</v>
      </c>
      <c r="X76" s="3" t="s">
        <v>3</v>
      </c>
      <c r="Y76" s="3" t="s">
        <v>3</v>
      </c>
      <c r="Z76" s="10">
        <f t="shared" si="2"/>
        <v>0.59875</v>
      </c>
    </row>
    <row r="77" spans="2:26" x14ac:dyDescent="0.3">
      <c r="B77">
        <v>15</v>
      </c>
      <c r="C77">
        <v>59.8</v>
      </c>
      <c r="D77">
        <v>59.8</v>
      </c>
      <c r="E77">
        <v>59.8</v>
      </c>
      <c r="F77">
        <v>52.4</v>
      </c>
      <c r="G77">
        <v>17.843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3</v>
      </c>
      <c r="W77" s="1" t="s">
        <v>2</v>
      </c>
      <c r="X77" s="1" t="s">
        <v>3</v>
      </c>
      <c r="Y77" s="1" t="s">
        <v>3</v>
      </c>
      <c r="Z77" s="10">
        <f t="shared" si="2"/>
        <v>0.65500000000000003</v>
      </c>
    </row>
    <row r="78" spans="2:26" x14ac:dyDescent="0.3">
      <c r="B78">
        <v>15</v>
      </c>
      <c r="C78">
        <v>59.8</v>
      </c>
      <c r="D78">
        <v>59.8</v>
      </c>
      <c r="E78">
        <v>59.8</v>
      </c>
      <c r="F78">
        <v>68.5</v>
      </c>
      <c r="G78">
        <v>17.844000000000001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3</v>
      </c>
      <c r="V78" s="1" t="s">
        <v>2</v>
      </c>
      <c r="W78" s="1" t="s">
        <v>2</v>
      </c>
      <c r="X78" s="1" t="s">
        <v>3</v>
      </c>
      <c r="Y78" s="1" t="s">
        <v>3</v>
      </c>
      <c r="Z78" s="10">
        <f t="shared" si="2"/>
        <v>0.85624999999999996</v>
      </c>
    </row>
    <row r="79" spans="2:26" x14ac:dyDescent="0.3">
      <c r="B79">
        <v>15</v>
      </c>
      <c r="C79">
        <v>59.8</v>
      </c>
      <c r="D79">
        <v>59.8</v>
      </c>
      <c r="E79">
        <v>59.8</v>
      </c>
      <c r="F79">
        <v>71.599999999999994</v>
      </c>
      <c r="G79">
        <v>17.844000000000001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3</v>
      </c>
      <c r="W79" s="1" t="s">
        <v>3</v>
      </c>
      <c r="X79" s="1" t="s">
        <v>2</v>
      </c>
      <c r="Y79" s="1" t="s">
        <v>3</v>
      </c>
      <c r="Z79" s="10">
        <f t="shared" si="2"/>
        <v>0.89499999999999991</v>
      </c>
    </row>
    <row r="80" spans="2:26" x14ac:dyDescent="0.3">
      <c r="B80">
        <v>15</v>
      </c>
      <c r="C80">
        <v>59.8</v>
      </c>
      <c r="D80">
        <v>59.8</v>
      </c>
      <c r="E80">
        <v>59.8</v>
      </c>
      <c r="F80">
        <v>79.5</v>
      </c>
      <c r="G80">
        <v>17.844000000000001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3</v>
      </c>
      <c r="W80" s="1" t="s">
        <v>3</v>
      </c>
      <c r="X80" s="1" t="s">
        <v>3</v>
      </c>
      <c r="Y80" s="1" t="s">
        <v>2</v>
      </c>
      <c r="Z80" s="10">
        <f t="shared" si="2"/>
        <v>0.99375000000000002</v>
      </c>
    </row>
    <row r="81" spans="2:26" x14ac:dyDescent="0.3">
      <c r="B81" s="2">
        <v>16</v>
      </c>
      <c r="C81" s="2">
        <v>59.8</v>
      </c>
      <c r="D81" s="2">
        <v>59.8</v>
      </c>
      <c r="E81" s="2">
        <v>59.8</v>
      </c>
      <c r="F81" s="2">
        <v>22.9</v>
      </c>
      <c r="G81" s="2">
        <v>17.841000000000001</v>
      </c>
      <c r="H81" s="3" t="s">
        <v>2</v>
      </c>
      <c r="I81" s="3" t="s">
        <v>2</v>
      </c>
      <c r="J81" s="3" t="s">
        <v>2</v>
      </c>
      <c r="K81" s="3" t="s">
        <v>2</v>
      </c>
      <c r="L81" s="3" t="s">
        <v>2</v>
      </c>
      <c r="M81" s="3" t="s">
        <v>2</v>
      </c>
      <c r="N81" s="3" t="s">
        <v>2</v>
      </c>
      <c r="O81" s="3" t="s">
        <v>2</v>
      </c>
      <c r="P81" s="3" t="s">
        <v>2</v>
      </c>
      <c r="Q81" s="3" t="s">
        <v>2</v>
      </c>
      <c r="R81" s="3" t="s">
        <v>2</v>
      </c>
      <c r="S81" s="3" t="s">
        <v>2</v>
      </c>
      <c r="T81" s="3" t="s">
        <v>2</v>
      </c>
      <c r="U81" s="3" t="s">
        <v>2</v>
      </c>
      <c r="V81" s="3" t="s">
        <v>2</v>
      </c>
      <c r="W81" s="3" t="s">
        <v>2</v>
      </c>
      <c r="X81" s="3" t="s">
        <v>3</v>
      </c>
      <c r="Y81" s="3" t="s">
        <v>3</v>
      </c>
      <c r="Z81" s="10">
        <f t="shared" si="2"/>
        <v>0.28625</v>
      </c>
    </row>
    <row r="82" spans="2:26" x14ac:dyDescent="0.3">
      <c r="B82">
        <v>16</v>
      </c>
      <c r="C82">
        <v>59.8</v>
      </c>
      <c r="D82">
        <v>59.8</v>
      </c>
      <c r="E82">
        <v>59.8</v>
      </c>
      <c r="F82">
        <v>41.9</v>
      </c>
      <c r="G82">
        <v>17.841999999999999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3</v>
      </c>
      <c r="X82" s="1" t="s">
        <v>2</v>
      </c>
      <c r="Y82" s="1" t="s">
        <v>3</v>
      </c>
      <c r="Z82" s="10">
        <f t="shared" si="2"/>
        <v>0.52374999999999994</v>
      </c>
    </row>
    <row r="83" spans="2:26" x14ac:dyDescent="0.3">
      <c r="B83">
        <v>16</v>
      </c>
      <c r="C83">
        <v>59.8</v>
      </c>
      <c r="D83">
        <v>59.8</v>
      </c>
      <c r="E83">
        <v>59.8</v>
      </c>
      <c r="F83">
        <v>46.5</v>
      </c>
      <c r="G83">
        <v>17.841999999999999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3</v>
      </c>
      <c r="W83" s="1" t="s">
        <v>2</v>
      </c>
      <c r="X83" s="1" t="s">
        <v>2</v>
      </c>
      <c r="Y83" s="1" t="s">
        <v>3</v>
      </c>
      <c r="Z83" s="10">
        <f t="shared" si="2"/>
        <v>0.58125000000000004</v>
      </c>
    </row>
    <row r="84" spans="2:26" x14ac:dyDescent="0.3">
      <c r="B84">
        <v>16</v>
      </c>
      <c r="C84">
        <v>59.8</v>
      </c>
      <c r="D84">
        <v>59.8</v>
      </c>
      <c r="E84">
        <v>59.8</v>
      </c>
      <c r="F84">
        <v>49.8</v>
      </c>
      <c r="G84">
        <v>17.843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3</v>
      </c>
      <c r="X84" s="1" t="s">
        <v>3</v>
      </c>
      <c r="Y84" s="1" t="s">
        <v>2</v>
      </c>
      <c r="Z84" s="10">
        <f t="shared" si="2"/>
        <v>0.62249999999999994</v>
      </c>
    </row>
    <row r="85" spans="2:26" x14ac:dyDescent="0.3">
      <c r="B85">
        <v>16</v>
      </c>
      <c r="C85">
        <v>59.8</v>
      </c>
      <c r="D85">
        <v>59.8</v>
      </c>
      <c r="E85">
        <v>59.8</v>
      </c>
      <c r="F85">
        <v>54.3</v>
      </c>
      <c r="G85">
        <v>17.843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3</v>
      </c>
      <c r="W85" s="1" t="s">
        <v>2</v>
      </c>
      <c r="X85" s="1" t="s">
        <v>3</v>
      </c>
      <c r="Y85" s="1" t="s">
        <v>2</v>
      </c>
      <c r="Z85" s="10">
        <f t="shared" si="2"/>
        <v>0.67874999999999996</v>
      </c>
    </row>
    <row r="86" spans="2:26" x14ac:dyDescent="0.3">
      <c r="B86">
        <v>17</v>
      </c>
      <c r="C86">
        <v>59.8</v>
      </c>
      <c r="D86">
        <v>59.8</v>
      </c>
      <c r="E86">
        <v>59.8</v>
      </c>
      <c r="F86">
        <v>17</v>
      </c>
      <c r="G86">
        <v>17.841000000000001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3</v>
      </c>
      <c r="Z86" s="10">
        <f t="shared" si="2"/>
        <v>0.21249999999999999</v>
      </c>
    </row>
    <row r="87" spans="2:26" x14ac:dyDescent="0.3">
      <c r="B87">
        <v>17</v>
      </c>
      <c r="C87">
        <v>59.8</v>
      </c>
      <c r="D87">
        <v>59.8</v>
      </c>
      <c r="E87">
        <v>59.8</v>
      </c>
      <c r="F87">
        <v>24.8</v>
      </c>
      <c r="G87">
        <v>17.841000000000001</v>
      </c>
      <c r="H87" s="1" t="s">
        <v>2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2</v>
      </c>
      <c r="V87" s="1" t="s">
        <v>2</v>
      </c>
      <c r="W87" s="1" t="s">
        <v>2</v>
      </c>
      <c r="X87" s="1" t="s">
        <v>3</v>
      </c>
      <c r="Y87" s="1" t="s">
        <v>2</v>
      </c>
      <c r="Z87" s="10">
        <f t="shared" si="2"/>
        <v>0.31</v>
      </c>
    </row>
    <row r="88" spans="2:26" x14ac:dyDescent="0.3">
      <c r="B88">
        <v>17</v>
      </c>
      <c r="C88">
        <v>59.8</v>
      </c>
      <c r="D88">
        <v>59.8</v>
      </c>
      <c r="E88">
        <v>59.8</v>
      </c>
      <c r="F88">
        <v>43.9</v>
      </c>
      <c r="G88">
        <v>17.841999999999999</v>
      </c>
      <c r="H88" s="1" t="s">
        <v>2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3</v>
      </c>
      <c r="X88" s="1" t="s">
        <v>2</v>
      </c>
      <c r="Y88" s="1" t="s">
        <v>2</v>
      </c>
      <c r="Z88" s="10">
        <f t="shared" si="2"/>
        <v>0.54874999999999996</v>
      </c>
    </row>
    <row r="89" spans="2:26" x14ac:dyDescent="0.3">
      <c r="B89">
        <v>17</v>
      </c>
      <c r="C89">
        <v>59.8</v>
      </c>
      <c r="D89">
        <v>59.8</v>
      </c>
      <c r="E89">
        <v>59.8</v>
      </c>
      <c r="F89">
        <v>48.5</v>
      </c>
      <c r="G89">
        <v>17.843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2</v>
      </c>
      <c r="V89" s="1" t="s">
        <v>3</v>
      </c>
      <c r="W89" s="1" t="s">
        <v>2</v>
      </c>
      <c r="X89" s="1" t="s">
        <v>2</v>
      </c>
      <c r="Y89" s="1" t="s">
        <v>2</v>
      </c>
      <c r="Z89" s="10">
        <f t="shared" si="2"/>
        <v>0.60624999999999996</v>
      </c>
    </row>
    <row r="90" spans="2:26" x14ac:dyDescent="0.3">
      <c r="B90">
        <v>17</v>
      </c>
      <c r="C90">
        <v>59.8</v>
      </c>
      <c r="D90">
        <v>59.8</v>
      </c>
      <c r="E90">
        <v>59.8</v>
      </c>
      <c r="F90">
        <v>65.599999999999994</v>
      </c>
      <c r="G90">
        <v>17.843</v>
      </c>
      <c r="H90" s="1" t="s">
        <v>2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2</v>
      </c>
      <c r="U90" s="1" t="s">
        <v>3</v>
      </c>
      <c r="V90" s="1" t="s">
        <v>2</v>
      </c>
      <c r="W90" s="1" t="s">
        <v>2</v>
      </c>
      <c r="X90" s="1" t="s">
        <v>2</v>
      </c>
      <c r="Y90" s="1" t="s">
        <v>2</v>
      </c>
      <c r="Z90" s="10">
        <f t="shared" si="2"/>
        <v>0.82</v>
      </c>
    </row>
    <row r="91" spans="2:26" x14ac:dyDescent="0.3">
      <c r="B91">
        <v>18</v>
      </c>
      <c r="C91">
        <v>59.8</v>
      </c>
      <c r="D91">
        <v>59.8</v>
      </c>
      <c r="E91">
        <v>59.8</v>
      </c>
      <c r="F91">
        <v>19</v>
      </c>
      <c r="G91">
        <v>17.841000000000001</v>
      </c>
      <c r="H91" s="1" t="s">
        <v>2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2</v>
      </c>
      <c r="U91" s="1" t="s">
        <v>2</v>
      </c>
      <c r="V91" s="1" t="s">
        <v>2</v>
      </c>
      <c r="W91" s="1" t="s">
        <v>2</v>
      </c>
      <c r="X91" s="1" t="s">
        <v>2</v>
      </c>
      <c r="Y91" s="1" t="s">
        <v>2</v>
      </c>
      <c r="Z91" s="10">
        <f t="shared" si="2"/>
        <v>0.23749999999999999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2E2F-B7CB-43F6-8069-E5A763760BB2}">
  <dimension ref="B1:Z89"/>
  <sheetViews>
    <sheetView tabSelected="1" zoomScale="70" zoomScaleNormal="70" workbookViewId="0">
      <selection activeCell="AB3" sqref="AB3"/>
    </sheetView>
  </sheetViews>
  <sheetFormatPr baseColWidth="10" defaultRowHeight="14.4" x14ac:dyDescent="0.3"/>
  <cols>
    <col min="1" max="1" width="3.33203125" customWidth="1"/>
    <col min="2" max="2" width="9.44140625" bestFit="1" customWidth="1"/>
    <col min="3" max="3" width="7.5546875" bestFit="1" customWidth="1"/>
    <col min="4" max="4" width="13.77734375" bestFit="1" customWidth="1"/>
    <col min="5" max="5" width="13.33203125" bestFit="1" customWidth="1"/>
    <col min="6" max="6" width="13.88671875" bestFit="1" customWidth="1"/>
    <col min="7" max="7" width="7.77734375" bestFit="1" customWidth="1"/>
    <col min="8" max="25" width="2" style="1" bestFit="1" customWidth="1"/>
  </cols>
  <sheetData>
    <row r="1" spans="2:26" ht="21" x14ac:dyDescent="0.4">
      <c r="B1" s="13" t="s">
        <v>26</v>
      </c>
    </row>
    <row r="3" spans="2:26" ht="211.8" x14ac:dyDescent="0.3">
      <c r="B3" s="1" t="s">
        <v>4</v>
      </c>
      <c r="C3" s="1" t="s">
        <v>0</v>
      </c>
      <c r="D3" s="1" t="s">
        <v>16</v>
      </c>
      <c r="E3" s="1" t="s">
        <v>17</v>
      </c>
      <c r="F3" s="1" t="s">
        <v>18</v>
      </c>
      <c r="G3" s="1" t="s">
        <v>1</v>
      </c>
      <c r="H3" s="5" t="s">
        <v>19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2:26" s="4" customFormat="1" x14ac:dyDescent="0.3">
      <c r="B4" s="2">
        <v>1</v>
      </c>
      <c r="C4" s="2">
        <v>49.7</v>
      </c>
      <c r="D4" s="2">
        <v>49.7</v>
      </c>
      <c r="E4" s="2">
        <v>49.7</v>
      </c>
      <c r="F4" s="11">
        <v>450.01099999999997</v>
      </c>
      <c r="G4" s="2">
        <v>19.954000000000001</v>
      </c>
      <c r="H4" s="3" t="s">
        <v>2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/>
    </row>
    <row r="5" spans="2:26" x14ac:dyDescent="0.3">
      <c r="B5">
        <v>1</v>
      </c>
      <c r="C5">
        <v>5</v>
      </c>
      <c r="D5">
        <v>5</v>
      </c>
      <c r="E5">
        <v>5</v>
      </c>
      <c r="F5" s="10">
        <v>2445.6590000000001</v>
      </c>
      <c r="G5">
        <v>27.427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2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</row>
    <row r="6" spans="2:26" x14ac:dyDescent="0.3">
      <c r="B6">
        <v>1</v>
      </c>
      <c r="C6">
        <v>1.3</v>
      </c>
      <c r="D6">
        <v>1.3</v>
      </c>
      <c r="E6">
        <v>1.3</v>
      </c>
      <c r="F6" s="10">
        <v>2610.8200000000002</v>
      </c>
      <c r="G6">
        <v>27.956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2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</row>
    <row r="7" spans="2:26" x14ac:dyDescent="0.3">
      <c r="B7">
        <v>1</v>
      </c>
      <c r="C7">
        <v>1</v>
      </c>
      <c r="D7">
        <v>1</v>
      </c>
      <c r="E7">
        <v>1</v>
      </c>
      <c r="F7" s="10">
        <v>2623.5309999999999</v>
      </c>
      <c r="G7">
        <v>27.997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2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</row>
    <row r="8" spans="2:26" x14ac:dyDescent="0.3">
      <c r="B8">
        <v>1</v>
      </c>
      <c r="C8">
        <v>0.9</v>
      </c>
      <c r="D8">
        <v>0.9</v>
      </c>
      <c r="E8">
        <v>0.9</v>
      </c>
      <c r="F8" s="10">
        <v>2628.6009999999997</v>
      </c>
      <c r="G8">
        <v>28.013000000000002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2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</row>
    <row r="9" spans="2:26" x14ac:dyDescent="0.3">
      <c r="B9" s="2">
        <v>2</v>
      </c>
      <c r="C9" s="2">
        <v>53.4</v>
      </c>
      <c r="D9" s="2">
        <v>53.4</v>
      </c>
      <c r="E9" s="2">
        <v>53.4</v>
      </c>
      <c r="F9" s="11">
        <v>286.26799999999997</v>
      </c>
      <c r="G9" s="2">
        <v>19.212</v>
      </c>
      <c r="H9" s="3" t="s">
        <v>2</v>
      </c>
      <c r="I9" s="3" t="s">
        <v>2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2:26" x14ac:dyDescent="0.3">
      <c r="B10">
        <v>2</v>
      </c>
      <c r="C10">
        <v>52.3</v>
      </c>
      <c r="D10">
        <v>52.3</v>
      </c>
      <c r="E10">
        <v>52.3</v>
      </c>
      <c r="F10" s="10">
        <v>336.14400000000001</v>
      </c>
      <c r="G10">
        <v>19.440999999999999</v>
      </c>
      <c r="H10" s="1" t="s">
        <v>2</v>
      </c>
      <c r="I10" s="1" t="s">
        <v>3</v>
      </c>
      <c r="J10" s="1" t="s">
        <v>2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</row>
    <row r="11" spans="2:26" x14ac:dyDescent="0.3">
      <c r="B11">
        <v>2</v>
      </c>
      <c r="C11">
        <v>50.9</v>
      </c>
      <c r="D11">
        <v>50.9</v>
      </c>
      <c r="E11">
        <v>50.9</v>
      </c>
      <c r="F11" s="10">
        <v>399.10900000000004</v>
      </c>
      <c r="G11">
        <v>19.725999999999999</v>
      </c>
      <c r="H11" s="1" t="s">
        <v>2</v>
      </c>
      <c r="I11" s="1" t="s">
        <v>3</v>
      </c>
      <c r="J11" s="1" t="s">
        <v>3</v>
      </c>
      <c r="K11" s="1" t="s">
        <v>2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</row>
    <row r="12" spans="2:26" x14ac:dyDescent="0.3">
      <c r="B12">
        <v>2</v>
      </c>
      <c r="C12">
        <v>50.2</v>
      </c>
      <c r="D12">
        <v>50.2</v>
      </c>
      <c r="E12">
        <v>50.2</v>
      </c>
      <c r="F12" s="10">
        <v>429.66199999999998</v>
      </c>
      <c r="G12">
        <v>19.863</v>
      </c>
      <c r="H12" s="1" t="s">
        <v>2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2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</row>
    <row r="13" spans="2:26" x14ac:dyDescent="0.3">
      <c r="B13">
        <v>2</v>
      </c>
      <c r="C13">
        <v>50</v>
      </c>
      <c r="D13">
        <v>50</v>
      </c>
      <c r="E13">
        <v>50</v>
      </c>
      <c r="F13" s="10">
        <v>437.60300000000001</v>
      </c>
      <c r="G13">
        <v>19.898</v>
      </c>
      <c r="H13" s="1" t="s">
        <v>2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2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</row>
    <row r="14" spans="2:26" x14ac:dyDescent="0.3">
      <c r="B14" s="2">
        <v>3</v>
      </c>
      <c r="C14" s="2">
        <v>56.9</v>
      </c>
      <c r="D14" s="2">
        <v>56.9</v>
      </c>
      <c r="E14" s="2">
        <v>56.9</v>
      </c>
      <c r="F14" s="11">
        <v>129.53200000000001</v>
      </c>
      <c r="G14" s="2">
        <v>18.474</v>
      </c>
      <c r="H14" s="3" t="s">
        <v>2</v>
      </c>
      <c r="I14" s="3" t="s">
        <v>2</v>
      </c>
      <c r="J14" s="3" t="s">
        <v>2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2:26" x14ac:dyDescent="0.3">
      <c r="B15">
        <v>3</v>
      </c>
      <c r="C15">
        <v>54.8</v>
      </c>
      <c r="D15">
        <v>54.8</v>
      </c>
      <c r="E15">
        <v>54.8</v>
      </c>
      <c r="F15" s="10">
        <v>222.61</v>
      </c>
      <c r="G15">
        <v>18.914999999999999</v>
      </c>
      <c r="H15" s="1" t="s">
        <v>2</v>
      </c>
      <c r="I15" s="1" t="s">
        <v>2</v>
      </c>
      <c r="J15" s="1" t="s">
        <v>3</v>
      </c>
      <c r="K15" s="1" t="s">
        <v>2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</row>
    <row r="16" spans="2:26" x14ac:dyDescent="0.3">
      <c r="B16">
        <v>3</v>
      </c>
      <c r="C16">
        <v>53.8</v>
      </c>
      <c r="D16">
        <v>53.8</v>
      </c>
      <c r="E16">
        <v>53.8</v>
      </c>
      <c r="F16" s="10">
        <v>269.30900000000003</v>
      </c>
      <c r="G16">
        <v>19.132999999999999</v>
      </c>
      <c r="H16" s="1" t="s">
        <v>2</v>
      </c>
      <c r="I16" s="1" t="s">
        <v>2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2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</row>
    <row r="17" spans="2:25" x14ac:dyDescent="0.3">
      <c r="B17">
        <v>3</v>
      </c>
      <c r="C17">
        <v>53.7</v>
      </c>
      <c r="D17">
        <v>53.7</v>
      </c>
      <c r="E17">
        <v>53.7</v>
      </c>
      <c r="F17" s="10">
        <v>272.32400000000001</v>
      </c>
      <c r="G17">
        <v>19.146999999999998</v>
      </c>
      <c r="H17" s="1" t="s">
        <v>2</v>
      </c>
      <c r="I17" s="1" t="s">
        <v>2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2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</row>
    <row r="18" spans="2:25" x14ac:dyDescent="0.3">
      <c r="B18">
        <v>3</v>
      </c>
      <c r="C18">
        <v>53.7</v>
      </c>
      <c r="D18">
        <v>53.7</v>
      </c>
      <c r="E18">
        <v>53.7</v>
      </c>
      <c r="F18" s="10">
        <v>273.35300000000001</v>
      </c>
      <c r="G18">
        <v>19.152000000000001</v>
      </c>
      <c r="H18" s="1" t="s">
        <v>2</v>
      </c>
      <c r="I18" s="1" t="s">
        <v>2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2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</row>
    <row r="19" spans="2:25" x14ac:dyDescent="0.3">
      <c r="B19" s="2">
        <v>4</v>
      </c>
      <c r="C19" s="2">
        <v>58.7</v>
      </c>
      <c r="D19" s="2">
        <v>58.7</v>
      </c>
      <c r="E19" s="2">
        <v>58.7</v>
      </c>
      <c r="F19" s="11">
        <v>49.671999999999997</v>
      </c>
      <c r="G19" s="2">
        <v>18.085999999999999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3</v>
      </c>
      <c r="S19" s="3" t="s">
        <v>3</v>
      </c>
      <c r="T19" s="3" t="s">
        <v>3</v>
      </c>
      <c r="U19" s="3" t="s">
        <v>3</v>
      </c>
      <c r="V19" s="3" t="s">
        <v>3</v>
      </c>
      <c r="W19" s="3" t="s">
        <v>3</v>
      </c>
      <c r="X19" s="3" t="s">
        <v>3</v>
      </c>
      <c r="Y19" s="3" t="s">
        <v>3</v>
      </c>
    </row>
    <row r="20" spans="2:25" x14ac:dyDescent="0.3">
      <c r="B20">
        <v>4</v>
      </c>
      <c r="C20">
        <v>57.1</v>
      </c>
      <c r="D20">
        <v>57.1</v>
      </c>
      <c r="E20">
        <v>57.1</v>
      </c>
      <c r="F20" s="10">
        <v>120.69</v>
      </c>
      <c r="G20">
        <v>18.431000000000001</v>
      </c>
      <c r="H20" s="1" t="s">
        <v>2</v>
      </c>
      <c r="I20" s="1" t="s">
        <v>2</v>
      </c>
      <c r="J20" s="1" t="s">
        <v>2</v>
      </c>
      <c r="K20" s="1" t="s">
        <v>3</v>
      </c>
      <c r="L20" s="1" t="s">
        <v>3</v>
      </c>
      <c r="M20" s="1" t="s">
        <v>3</v>
      </c>
      <c r="N20" s="1" t="s">
        <v>2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</row>
    <row r="21" spans="2:25" x14ac:dyDescent="0.3">
      <c r="B21">
        <v>4</v>
      </c>
      <c r="C21">
        <v>57.1</v>
      </c>
      <c r="D21">
        <v>57.1</v>
      </c>
      <c r="E21">
        <v>57.1</v>
      </c>
      <c r="F21" s="10">
        <v>120.87299999999999</v>
      </c>
      <c r="G21">
        <v>18.431999999999999</v>
      </c>
      <c r="H21" s="1" t="s">
        <v>2</v>
      </c>
      <c r="I21" s="1" t="s">
        <v>2</v>
      </c>
      <c r="J21" s="1" t="s">
        <v>2</v>
      </c>
      <c r="K21" s="1" t="s">
        <v>3</v>
      </c>
      <c r="L21" s="1" t="s">
        <v>2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3</v>
      </c>
    </row>
    <row r="22" spans="2:25" x14ac:dyDescent="0.3">
      <c r="B22">
        <v>4</v>
      </c>
      <c r="C22">
        <v>57.1</v>
      </c>
      <c r="D22">
        <v>57.1</v>
      </c>
      <c r="E22">
        <v>57.1</v>
      </c>
      <c r="F22" s="10">
        <v>122.51</v>
      </c>
      <c r="G22">
        <v>18.440000000000001</v>
      </c>
      <c r="H22" s="1" t="s">
        <v>2</v>
      </c>
      <c r="I22" s="1" t="s">
        <v>2</v>
      </c>
      <c r="J22" s="1" t="s">
        <v>2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2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</row>
    <row r="23" spans="2:25" x14ac:dyDescent="0.3">
      <c r="B23">
        <v>4</v>
      </c>
      <c r="C23">
        <v>57.1</v>
      </c>
      <c r="D23">
        <v>57.1</v>
      </c>
      <c r="E23">
        <v>57.1</v>
      </c>
      <c r="F23" s="10">
        <v>122.96899999999999</v>
      </c>
      <c r="G23">
        <v>18.442</v>
      </c>
      <c r="H23" s="1" t="s">
        <v>2</v>
      </c>
      <c r="I23" s="1" t="s">
        <v>2</v>
      </c>
      <c r="J23" s="1" t="s">
        <v>2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2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3</v>
      </c>
    </row>
    <row r="24" spans="2:25" x14ac:dyDescent="0.3">
      <c r="B24" s="2">
        <v>5</v>
      </c>
      <c r="C24" s="2">
        <v>58.9</v>
      </c>
      <c r="D24" s="2">
        <v>58.9</v>
      </c>
      <c r="E24" s="2">
        <v>58.9</v>
      </c>
      <c r="F24" s="11">
        <v>43.227777777777774</v>
      </c>
      <c r="G24" s="2">
        <v>18.033000000000001</v>
      </c>
      <c r="H24" s="3" t="s">
        <v>2</v>
      </c>
      <c r="I24" s="3" t="s">
        <v>2</v>
      </c>
      <c r="J24" s="3" t="s">
        <v>2</v>
      </c>
      <c r="K24" s="3" t="s">
        <v>2</v>
      </c>
      <c r="L24" s="3" t="s">
        <v>2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2:25" x14ac:dyDescent="0.3">
      <c r="B25">
        <v>5</v>
      </c>
      <c r="C25">
        <v>58.9</v>
      </c>
      <c r="D25">
        <v>58.9</v>
      </c>
      <c r="E25">
        <v>58.9</v>
      </c>
      <c r="F25" s="10">
        <v>44.441111111111113</v>
      </c>
      <c r="G25">
        <v>18.039000000000001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3</v>
      </c>
      <c r="M25" s="1" t="s">
        <v>2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</row>
    <row r="26" spans="2:25" x14ac:dyDescent="0.3">
      <c r="B26">
        <v>5</v>
      </c>
      <c r="C26">
        <v>58.9</v>
      </c>
      <c r="D26">
        <v>58.9</v>
      </c>
      <c r="E26">
        <v>58.9</v>
      </c>
      <c r="F26" s="10">
        <v>46.244444444444447</v>
      </c>
      <c r="G26">
        <v>18.045999999999999</v>
      </c>
      <c r="H26" s="1" t="s">
        <v>2</v>
      </c>
      <c r="I26" s="1" t="s">
        <v>2</v>
      </c>
      <c r="J26" s="1" t="s">
        <v>2</v>
      </c>
      <c r="K26" s="1" t="s">
        <v>2</v>
      </c>
      <c r="L26" s="1" t="s">
        <v>3</v>
      </c>
      <c r="M26" s="1" t="s">
        <v>3</v>
      </c>
      <c r="N26" s="1" t="s">
        <v>2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</row>
    <row r="27" spans="2:25" x14ac:dyDescent="0.3">
      <c r="B27">
        <v>5</v>
      </c>
      <c r="C27">
        <v>58.9</v>
      </c>
      <c r="D27">
        <v>58.9</v>
      </c>
      <c r="E27">
        <v>58.9</v>
      </c>
      <c r="F27" s="10">
        <v>47.146666666666661</v>
      </c>
      <c r="G27">
        <v>18.05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3</v>
      </c>
      <c r="M27" s="1" t="s">
        <v>3</v>
      </c>
      <c r="N27" s="1" t="s">
        <v>3</v>
      </c>
      <c r="O27" s="1" t="s">
        <v>2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</row>
    <row r="28" spans="2:25" x14ac:dyDescent="0.3">
      <c r="B28">
        <v>5</v>
      </c>
      <c r="C28">
        <v>58.8</v>
      </c>
      <c r="D28">
        <v>58.8</v>
      </c>
      <c r="E28">
        <v>58.8</v>
      </c>
      <c r="F28" s="10">
        <v>49.357777777777777</v>
      </c>
      <c r="G28">
        <v>18.059999999999999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2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</row>
    <row r="29" spans="2:25" x14ac:dyDescent="0.3">
      <c r="B29" s="2">
        <v>6</v>
      </c>
      <c r="C29" s="2">
        <v>59.2</v>
      </c>
      <c r="D29" s="2">
        <v>59.2</v>
      </c>
      <c r="E29" s="2">
        <v>59.2</v>
      </c>
      <c r="F29" s="11">
        <v>32.067777777777778</v>
      </c>
      <c r="G29" s="2">
        <v>17.984000000000002</v>
      </c>
      <c r="H29" s="3" t="s">
        <v>2</v>
      </c>
      <c r="I29" s="3" t="s">
        <v>2</v>
      </c>
      <c r="J29" s="3" t="s">
        <v>2</v>
      </c>
      <c r="K29" s="3" t="s">
        <v>2</v>
      </c>
      <c r="L29" s="3" t="s">
        <v>2</v>
      </c>
      <c r="M29" s="3" t="s">
        <v>2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  <c r="Y29" s="3" t="s">
        <v>3</v>
      </c>
    </row>
    <row r="30" spans="2:25" x14ac:dyDescent="0.3">
      <c r="B30">
        <v>6</v>
      </c>
      <c r="C30">
        <v>59.1</v>
      </c>
      <c r="D30">
        <v>59.1</v>
      </c>
      <c r="E30">
        <v>59.1</v>
      </c>
      <c r="F30" s="10">
        <v>38.341250000000002</v>
      </c>
      <c r="G30">
        <v>17.992999999999999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3</v>
      </c>
      <c r="N30" s="1" t="s">
        <v>2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</row>
    <row r="31" spans="2:25" x14ac:dyDescent="0.3">
      <c r="B31">
        <v>6</v>
      </c>
      <c r="C31">
        <v>59.1</v>
      </c>
      <c r="D31">
        <v>59.1</v>
      </c>
      <c r="E31">
        <v>59.1</v>
      </c>
      <c r="F31" s="10">
        <v>38.706249999999997</v>
      </c>
      <c r="G31">
        <v>17.994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3</v>
      </c>
      <c r="N31" s="1" t="s">
        <v>3</v>
      </c>
      <c r="O31" s="1" t="s">
        <v>2</v>
      </c>
      <c r="P31" s="1" t="s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</v>
      </c>
      <c r="Y31" s="1" t="s">
        <v>3</v>
      </c>
    </row>
    <row r="32" spans="2:25" x14ac:dyDescent="0.3">
      <c r="B32">
        <v>6</v>
      </c>
      <c r="C32">
        <v>59.1</v>
      </c>
      <c r="D32">
        <v>59.1</v>
      </c>
      <c r="E32">
        <v>59.1</v>
      </c>
      <c r="F32" s="10">
        <v>40.902499999999996</v>
      </c>
      <c r="G32">
        <v>18.003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3</v>
      </c>
      <c r="M32" s="1" t="s">
        <v>2</v>
      </c>
      <c r="N32" s="1" t="s">
        <v>2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3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</row>
    <row r="33" spans="2:25" x14ac:dyDescent="0.3">
      <c r="B33">
        <v>6</v>
      </c>
      <c r="C33">
        <v>59.1</v>
      </c>
      <c r="D33">
        <v>59.1</v>
      </c>
      <c r="E33">
        <v>59.1</v>
      </c>
      <c r="F33" s="10">
        <v>41.938749999999999</v>
      </c>
      <c r="G33">
        <v>18.007000000000001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3</v>
      </c>
      <c r="N33" s="1" t="s">
        <v>3</v>
      </c>
      <c r="O33" s="1" t="s">
        <v>3</v>
      </c>
      <c r="P33" s="1" t="s">
        <v>2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</row>
    <row r="34" spans="2:25" x14ac:dyDescent="0.3">
      <c r="B34" s="2">
        <v>7</v>
      </c>
      <c r="C34" s="2">
        <v>59.3</v>
      </c>
      <c r="D34" s="2">
        <v>59.3</v>
      </c>
      <c r="E34" s="2">
        <v>59.3</v>
      </c>
      <c r="F34" s="11">
        <v>28.783999999999999</v>
      </c>
      <c r="G34" s="2">
        <v>17.946999999999999</v>
      </c>
      <c r="H34" s="3" t="s">
        <v>2</v>
      </c>
      <c r="I34" s="3" t="s">
        <v>2</v>
      </c>
      <c r="J34" s="3" t="s">
        <v>2</v>
      </c>
      <c r="K34" s="3" t="s">
        <v>2</v>
      </c>
      <c r="L34" s="3" t="s">
        <v>2</v>
      </c>
      <c r="M34" s="3" t="s">
        <v>2</v>
      </c>
      <c r="N34" s="3" t="s">
        <v>2</v>
      </c>
      <c r="O34" s="3" t="s">
        <v>3</v>
      </c>
      <c r="P34" s="3" t="s">
        <v>3</v>
      </c>
      <c r="Q34" s="3" t="s">
        <v>3</v>
      </c>
      <c r="R34" s="3" t="s">
        <v>3</v>
      </c>
      <c r="S34" s="3" t="s">
        <v>3</v>
      </c>
      <c r="T34" s="3" t="s">
        <v>3</v>
      </c>
      <c r="U34" s="3" t="s">
        <v>3</v>
      </c>
      <c r="V34" s="3" t="s">
        <v>3</v>
      </c>
      <c r="W34" s="3" t="s">
        <v>3</v>
      </c>
      <c r="X34" s="3" t="s">
        <v>3</v>
      </c>
      <c r="Y34" s="3" t="s">
        <v>3</v>
      </c>
    </row>
    <row r="35" spans="2:25" x14ac:dyDescent="0.3">
      <c r="B35">
        <v>7</v>
      </c>
      <c r="C35">
        <v>59.3</v>
      </c>
      <c r="D35">
        <v>59.3</v>
      </c>
      <c r="E35">
        <v>59.3</v>
      </c>
      <c r="F35" s="10">
        <v>36.322500000000005</v>
      </c>
      <c r="G35">
        <v>17.949000000000002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3</v>
      </c>
      <c r="N35" s="1" t="s">
        <v>2</v>
      </c>
      <c r="O35" s="1" t="s">
        <v>2</v>
      </c>
      <c r="P35" s="1" t="s">
        <v>3</v>
      </c>
      <c r="Q35" s="1" t="s">
        <v>3</v>
      </c>
      <c r="R35" s="1" t="s">
        <v>3</v>
      </c>
      <c r="S35" s="1" t="s">
        <v>3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</v>
      </c>
      <c r="Y35" s="1" t="s">
        <v>3</v>
      </c>
    </row>
    <row r="36" spans="2:25" x14ac:dyDescent="0.3">
      <c r="B36">
        <v>7</v>
      </c>
      <c r="C36">
        <v>59.3</v>
      </c>
      <c r="D36">
        <v>59.3</v>
      </c>
      <c r="E36">
        <v>59.3</v>
      </c>
      <c r="F36" s="10">
        <v>36.932499999999997</v>
      </c>
      <c r="G36">
        <v>17.951000000000001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3</v>
      </c>
      <c r="O36" s="1" t="s">
        <v>2</v>
      </c>
      <c r="P36" s="1" t="s">
        <v>3</v>
      </c>
      <c r="Q36" s="1" t="s">
        <v>3</v>
      </c>
      <c r="R36" s="1" t="s">
        <v>3</v>
      </c>
      <c r="S36" s="1" t="s">
        <v>3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</v>
      </c>
      <c r="Y36" s="1" t="s">
        <v>3</v>
      </c>
    </row>
    <row r="37" spans="2:25" x14ac:dyDescent="0.3">
      <c r="B37">
        <v>7</v>
      </c>
      <c r="C37">
        <v>59.3</v>
      </c>
      <c r="D37">
        <v>59.3</v>
      </c>
      <c r="E37">
        <v>59.3</v>
      </c>
      <c r="F37" s="10">
        <v>38.493749999999999</v>
      </c>
      <c r="G37">
        <v>17.957999999999998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3</v>
      </c>
      <c r="O37" s="1" t="s">
        <v>3</v>
      </c>
      <c r="P37" s="1" t="s">
        <v>2</v>
      </c>
      <c r="Q37" s="1" t="s">
        <v>3</v>
      </c>
      <c r="R37" s="1" t="s">
        <v>3</v>
      </c>
      <c r="S37" s="1" t="s">
        <v>3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</v>
      </c>
      <c r="Y37" s="1" t="s">
        <v>3</v>
      </c>
    </row>
    <row r="38" spans="2:25" x14ac:dyDescent="0.3">
      <c r="B38">
        <v>7</v>
      </c>
      <c r="C38">
        <v>59.2</v>
      </c>
      <c r="D38">
        <v>59.2</v>
      </c>
      <c r="E38">
        <v>59.2</v>
      </c>
      <c r="F38" s="10">
        <v>41.407499999999999</v>
      </c>
      <c r="G38">
        <v>17.969000000000001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3</v>
      </c>
      <c r="N38" s="1" t="s">
        <v>2</v>
      </c>
      <c r="O38" s="1" t="s">
        <v>3</v>
      </c>
      <c r="P38" s="1" t="s">
        <v>2</v>
      </c>
      <c r="Q38" s="1" t="s">
        <v>3</v>
      </c>
      <c r="R38" s="1" t="s">
        <v>3</v>
      </c>
      <c r="S38" s="1" t="s">
        <v>3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</v>
      </c>
      <c r="Y38" s="1" t="s">
        <v>3</v>
      </c>
    </row>
    <row r="39" spans="2:25" x14ac:dyDescent="0.3">
      <c r="B39" s="2">
        <v>8</v>
      </c>
      <c r="C39" s="2">
        <v>59.5</v>
      </c>
      <c r="D39" s="2">
        <v>59.5</v>
      </c>
      <c r="E39" s="2">
        <v>59.5</v>
      </c>
      <c r="F39" s="11">
        <v>25.616</v>
      </c>
      <c r="G39" s="2">
        <v>17.911000000000001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2</v>
      </c>
      <c r="O39" s="3" t="s">
        <v>2</v>
      </c>
      <c r="P39" s="3" t="s">
        <v>3</v>
      </c>
      <c r="Q39" s="3" t="s">
        <v>3</v>
      </c>
      <c r="R39" s="3" t="s">
        <v>3</v>
      </c>
      <c r="S39" s="3" t="s">
        <v>3</v>
      </c>
      <c r="T39" s="3" t="s">
        <v>3</v>
      </c>
      <c r="U39" s="3" t="s">
        <v>3</v>
      </c>
      <c r="V39" s="3" t="s">
        <v>3</v>
      </c>
      <c r="W39" s="3" t="s">
        <v>3</v>
      </c>
      <c r="X39" s="3" t="s">
        <v>3</v>
      </c>
      <c r="Y39" s="3" t="s">
        <v>3</v>
      </c>
    </row>
    <row r="40" spans="2:25" x14ac:dyDescent="0.3">
      <c r="B40">
        <v>8</v>
      </c>
      <c r="C40">
        <v>59.4</v>
      </c>
      <c r="D40">
        <v>59.4</v>
      </c>
      <c r="E40">
        <v>59.4</v>
      </c>
      <c r="F40" s="10">
        <v>29.91375</v>
      </c>
      <c r="G40">
        <v>17.923999999999999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3</v>
      </c>
      <c r="P40" s="1" t="s">
        <v>2</v>
      </c>
      <c r="Q40" s="1" t="s">
        <v>3</v>
      </c>
      <c r="R40" s="1" t="s">
        <v>3</v>
      </c>
      <c r="S40" s="1" t="s">
        <v>3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</v>
      </c>
      <c r="Y40" s="1" t="s">
        <v>3</v>
      </c>
    </row>
    <row r="41" spans="2:25" x14ac:dyDescent="0.3">
      <c r="B41">
        <v>8</v>
      </c>
      <c r="C41">
        <v>59.4</v>
      </c>
      <c r="D41">
        <v>59.4</v>
      </c>
      <c r="E41">
        <v>59.4</v>
      </c>
      <c r="F41" s="10">
        <v>30.771250000000002</v>
      </c>
      <c r="G41">
        <v>17.927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3</v>
      </c>
      <c r="O41" s="1" t="s">
        <v>2</v>
      </c>
      <c r="P41" s="1" t="s">
        <v>2</v>
      </c>
      <c r="Q41" s="1" t="s">
        <v>3</v>
      </c>
      <c r="R41" s="1" t="s">
        <v>3</v>
      </c>
      <c r="S41" s="1" t="s">
        <v>3</v>
      </c>
      <c r="T41" s="1" t="s">
        <v>3</v>
      </c>
      <c r="U41" s="1" t="s">
        <v>3</v>
      </c>
      <c r="V41" s="1" t="s">
        <v>3</v>
      </c>
      <c r="W41" s="1" t="s">
        <v>3</v>
      </c>
      <c r="X41" s="1" t="s">
        <v>3</v>
      </c>
      <c r="Y41" s="1" t="s">
        <v>3</v>
      </c>
    </row>
    <row r="42" spans="2:25" x14ac:dyDescent="0.3">
      <c r="B42">
        <v>8</v>
      </c>
      <c r="C42">
        <v>59.4</v>
      </c>
      <c r="D42">
        <v>59.4</v>
      </c>
      <c r="E42">
        <v>59.4</v>
      </c>
      <c r="F42" s="10">
        <v>30.897500000000001</v>
      </c>
      <c r="G42">
        <v>17.927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3</v>
      </c>
      <c r="N42" s="1" t="s">
        <v>2</v>
      </c>
      <c r="O42" s="1" t="s">
        <v>2</v>
      </c>
      <c r="P42" s="1" t="s">
        <v>2</v>
      </c>
      <c r="Q42" s="1" t="s">
        <v>3</v>
      </c>
      <c r="R42" s="1" t="s">
        <v>3</v>
      </c>
      <c r="S42" s="1" t="s">
        <v>3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</v>
      </c>
      <c r="Y42" s="1" t="s">
        <v>3</v>
      </c>
    </row>
    <row r="43" spans="2:25" x14ac:dyDescent="0.3">
      <c r="B43">
        <v>8</v>
      </c>
      <c r="C43">
        <v>59.4</v>
      </c>
      <c r="D43">
        <v>59.4</v>
      </c>
      <c r="E43">
        <v>59.4</v>
      </c>
      <c r="F43" s="10">
        <v>30.94125</v>
      </c>
      <c r="G43">
        <v>17.928000000000001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3</v>
      </c>
      <c r="O43" s="1" t="s">
        <v>3</v>
      </c>
      <c r="P43" s="1" t="s">
        <v>2</v>
      </c>
      <c r="Q43" s="1" t="s">
        <v>2</v>
      </c>
      <c r="R43" s="1" t="s">
        <v>3</v>
      </c>
      <c r="S43" s="1" t="s">
        <v>3</v>
      </c>
      <c r="T43" s="1" t="s">
        <v>3</v>
      </c>
      <c r="U43" s="1" t="s">
        <v>3</v>
      </c>
      <c r="V43" s="1" t="s">
        <v>3</v>
      </c>
      <c r="W43" s="1" t="s">
        <v>3</v>
      </c>
      <c r="X43" s="1" t="s">
        <v>3</v>
      </c>
      <c r="Y43" s="1" t="s">
        <v>3</v>
      </c>
    </row>
    <row r="44" spans="2:25" x14ac:dyDescent="0.3">
      <c r="B44" s="2">
        <v>9</v>
      </c>
      <c r="C44" s="2">
        <v>59.6</v>
      </c>
      <c r="D44" s="2">
        <v>59.6</v>
      </c>
      <c r="E44" s="2">
        <v>59.6</v>
      </c>
      <c r="F44" s="11">
        <v>19.53</v>
      </c>
      <c r="G44" s="2">
        <v>17.888999999999999</v>
      </c>
      <c r="H44" s="3" t="s">
        <v>2</v>
      </c>
      <c r="I44" s="3" t="s">
        <v>2</v>
      </c>
      <c r="J44" s="3" t="s">
        <v>2</v>
      </c>
      <c r="K44" s="3" t="s">
        <v>2</v>
      </c>
      <c r="L44" s="3" t="s">
        <v>2</v>
      </c>
      <c r="M44" s="3" t="s">
        <v>2</v>
      </c>
      <c r="N44" s="3" t="s">
        <v>2</v>
      </c>
      <c r="O44" s="3" t="s">
        <v>2</v>
      </c>
      <c r="P44" s="3" t="s">
        <v>2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3">
      <c r="B45">
        <v>9</v>
      </c>
      <c r="C45">
        <v>59.6</v>
      </c>
      <c r="D45">
        <v>59.6</v>
      </c>
      <c r="E45">
        <v>59.6</v>
      </c>
      <c r="F45" s="10">
        <v>13.92625</v>
      </c>
      <c r="G45">
        <v>17.896000000000001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3</v>
      </c>
      <c r="P45" s="1" t="s">
        <v>2</v>
      </c>
      <c r="Q45" s="1" t="s">
        <v>2</v>
      </c>
      <c r="R45" s="1" t="s">
        <v>3</v>
      </c>
      <c r="S45" s="1" t="s">
        <v>3</v>
      </c>
      <c r="T45" s="1" t="s">
        <v>3</v>
      </c>
      <c r="U45" s="1" t="s">
        <v>3</v>
      </c>
      <c r="V45" s="1" t="s">
        <v>3</v>
      </c>
      <c r="W45" s="1" t="s">
        <v>3</v>
      </c>
      <c r="X45" s="1" t="s">
        <v>3</v>
      </c>
      <c r="Y45" s="1" t="s">
        <v>3</v>
      </c>
    </row>
    <row r="46" spans="2:25" x14ac:dyDescent="0.3">
      <c r="B46">
        <v>9</v>
      </c>
      <c r="C46">
        <v>59.5</v>
      </c>
      <c r="D46">
        <v>59.5</v>
      </c>
      <c r="E46">
        <v>59.5</v>
      </c>
      <c r="F46" s="10">
        <v>15.05625</v>
      </c>
      <c r="G46">
        <v>17.899999999999999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3</v>
      </c>
      <c r="Q46" s="1" t="s">
        <v>2</v>
      </c>
      <c r="R46" s="1" t="s">
        <v>3</v>
      </c>
      <c r="S46" s="1" t="s">
        <v>3</v>
      </c>
      <c r="T46" s="1" t="s">
        <v>3</v>
      </c>
      <c r="U46" s="1" t="s">
        <v>3</v>
      </c>
      <c r="V46" s="1" t="s">
        <v>3</v>
      </c>
      <c r="W46" s="1" t="s">
        <v>3</v>
      </c>
      <c r="X46" s="1" t="s">
        <v>3</v>
      </c>
      <c r="Y46" s="1" t="s">
        <v>3</v>
      </c>
    </row>
    <row r="47" spans="2:25" x14ac:dyDescent="0.3">
      <c r="B47">
        <v>9</v>
      </c>
      <c r="C47">
        <v>59.5</v>
      </c>
      <c r="D47">
        <v>59.5</v>
      </c>
      <c r="E47">
        <v>59.5</v>
      </c>
      <c r="F47" s="10">
        <v>15.067500000000001</v>
      </c>
      <c r="G47">
        <v>17.899999999999999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3</v>
      </c>
      <c r="O47" s="1" t="s">
        <v>2</v>
      </c>
      <c r="P47" s="1" t="s">
        <v>2</v>
      </c>
      <c r="Q47" s="1" t="s">
        <v>2</v>
      </c>
      <c r="R47" s="1" t="s">
        <v>3</v>
      </c>
      <c r="S47" s="1" t="s">
        <v>3</v>
      </c>
      <c r="T47" s="1" t="s">
        <v>3</v>
      </c>
      <c r="U47" s="1" t="s">
        <v>3</v>
      </c>
      <c r="V47" s="1" t="s">
        <v>3</v>
      </c>
      <c r="W47" s="1" t="s">
        <v>3</v>
      </c>
      <c r="X47" s="1" t="s">
        <v>3</v>
      </c>
      <c r="Y47" s="1" t="s">
        <v>3</v>
      </c>
    </row>
    <row r="48" spans="2:25" x14ac:dyDescent="0.3">
      <c r="B48">
        <v>9</v>
      </c>
      <c r="C48">
        <v>59.5</v>
      </c>
      <c r="D48">
        <v>59.5</v>
      </c>
      <c r="E48">
        <v>59.5</v>
      </c>
      <c r="F48" s="10">
        <v>15.194999999999999</v>
      </c>
      <c r="G48">
        <v>17.901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3</v>
      </c>
      <c r="Q48" s="1" t="s">
        <v>3</v>
      </c>
      <c r="R48" s="1" t="s">
        <v>2</v>
      </c>
      <c r="S48" s="1" t="s">
        <v>3</v>
      </c>
      <c r="T48" s="1" t="s">
        <v>3</v>
      </c>
      <c r="U48" s="1" t="s">
        <v>3</v>
      </c>
      <c r="V48" s="1" t="s">
        <v>3</v>
      </c>
      <c r="W48" s="1" t="s">
        <v>3</v>
      </c>
      <c r="X48" s="1" t="s">
        <v>3</v>
      </c>
      <c r="Y48" s="1" t="s">
        <v>3</v>
      </c>
    </row>
    <row r="49" spans="2:25" x14ac:dyDescent="0.3">
      <c r="B49" s="2">
        <v>10</v>
      </c>
      <c r="C49" s="2">
        <v>59.7</v>
      </c>
      <c r="D49" s="2">
        <v>59.7</v>
      </c>
      <c r="E49" s="2">
        <v>59.7</v>
      </c>
      <c r="F49" s="11">
        <v>16.306666666666665</v>
      </c>
      <c r="G49" s="2">
        <v>17.864999999999998</v>
      </c>
      <c r="H49" s="3" t="s">
        <v>2</v>
      </c>
      <c r="I49" s="3" t="s">
        <v>2</v>
      </c>
      <c r="J49" s="3" t="s">
        <v>2</v>
      </c>
      <c r="K49" s="3" t="s">
        <v>2</v>
      </c>
      <c r="L49" s="3" t="s">
        <v>2</v>
      </c>
      <c r="M49" s="3" t="s">
        <v>2</v>
      </c>
      <c r="N49" s="3" t="s">
        <v>2</v>
      </c>
      <c r="O49" s="3" t="s">
        <v>2</v>
      </c>
      <c r="P49" s="3" t="s">
        <v>2</v>
      </c>
      <c r="Q49" s="3" t="s">
        <v>2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2:25" x14ac:dyDescent="0.3">
      <c r="B50">
        <v>10</v>
      </c>
      <c r="C50">
        <v>59.6</v>
      </c>
      <c r="D50">
        <v>59.6</v>
      </c>
      <c r="E50">
        <v>59.6</v>
      </c>
      <c r="F50" s="10">
        <v>22.42</v>
      </c>
      <c r="G50">
        <v>17.879000000000001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3</v>
      </c>
      <c r="R50" s="1" t="s">
        <v>2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</row>
    <row r="51" spans="2:25" x14ac:dyDescent="0.3">
      <c r="B51">
        <v>10</v>
      </c>
      <c r="C51">
        <v>59.6</v>
      </c>
      <c r="D51">
        <v>59.6</v>
      </c>
      <c r="E51">
        <v>59.6</v>
      </c>
      <c r="F51" s="10">
        <v>24.88</v>
      </c>
      <c r="G51">
        <v>17.884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3</v>
      </c>
      <c r="R51" s="1" t="s">
        <v>3</v>
      </c>
      <c r="S51" s="1" t="s">
        <v>2</v>
      </c>
      <c r="T51" s="1" t="s">
        <v>3</v>
      </c>
      <c r="U51" s="1" t="s">
        <v>3</v>
      </c>
      <c r="V51" s="1" t="s">
        <v>3</v>
      </c>
      <c r="W51" s="1" t="s">
        <v>3</v>
      </c>
      <c r="X51" s="1" t="s">
        <v>3</v>
      </c>
      <c r="Y51" s="1" t="s">
        <v>3</v>
      </c>
    </row>
    <row r="52" spans="2:25" x14ac:dyDescent="0.3">
      <c r="B52">
        <v>10</v>
      </c>
      <c r="C52">
        <v>59.6</v>
      </c>
      <c r="D52">
        <v>59.6</v>
      </c>
      <c r="E52">
        <v>59.6</v>
      </c>
      <c r="F52" s="10">
        <v>26.388571428571428</v>
      </c>
      <c r="G52">
        <v>17.885999999999999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3</v>
      </c>
      <c r="R52" s="1" t="s">
        <v>3</v>
      </c>
      <c r="S52" s="1" t="s">
        <v>3</v>
      </c>
      <c r="T52" s="1" t="s">
        <v>2</v>
      </c>
      <c r="U52" s="1" t="s">
        <v>3</v>
      </c>
      <c r="V52" s="1" t="s">
        <v>3</v>
      </c>
      <c r="W52" s="1" t="s">
        <v>3</v>
      </c>
      <c r="X52" s="1" t="s">
        <v>3</v>
      </c>
      <c r="Y52" s="1" t="s">
        <v>3</v>
      </c>
    </row>
    <row r="53" spans="2:25" ht="15" thickBot="1" x14ac:dyDescent="0.35">
      <c r="B53">
        <v>10</v>
      </c>
      <c r="C53">
        <v>59.6</v>
      </c>
      <c r="D53">
        <v>59.6</v>
      </c>
      <c r="E53">
        <v>59.6</v>
      </c>
      <c r="F53" s="10">
        <v>26.742857142857144</v>
      </c>
      <c r="G53">
        <v>17.887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3</v>
      </c>
      <c r="R53" s="1" t="s">
        <v>3</v>
      </c>
      <c r="S53" s="1" t="s">
        <v>3</v>
      </c>
      <c r="T53" s="1" t="s">
        <v>3</v>
      </c>
      <c r="U53" s="1" t="s">
        <v>2</v>
      </c>
      <c r="V53" s="1" t="s">
        <v>3</v>
      </c>
      <c r="W53" s="1" t="s">
        <v>3</v>
      </c>
      <c r="X53" s="1" t="s">
        <v>3</v>
      </c>
      <c r="Y53" s="1" t="s">
        <v>3</v>
      </c>
    </row>
    <row r="54" spans="2:25" ht="15" thickBot="1" x14ac:dyDescent="0.35">
      <c r="B54" s="6">
        <v>11</v>
      </c>
      <c r="C54" s="7">
        <v>59.8</v>
      </c>
      <c r="D54" s="7">
        <v>59.8</v>
      </c>
      <c r="E54" s="7">
        <v>59.7</v>
      </c>
      <c r="F54" s="12">
        <v>14.801</v>
      </c>
      <c r="G54" s="7">
        <v>17.855</v>
      </c>
      <c r="H54" s="8" t="s">
        <v>2</v>
      </c>
      <c r="I54" s="8" t="s">
        <v>2</v>
      </c>
      <c r="J54" s="8" t="s">
        <v>2</v>
      </c>
      <c r="K54" s="8" t="s">
        <v>2</v>
      </c>
      <c r="L54" s="8" t="s">
        <v>2</v>
      </c>
      <c r="M54" s="8" t="s">
        <v>2</v>
      </c>
      <c r="N54" s="8" t="s">
        <v>2</v>
      </c>
      <c r="O54" s="8" t="s">
        <v>2</v>
      </c>
      <c r="P54" s="8" t="s">
        <v>2</v>
      </c>
      <c r="Q54" s="8" t="s">
        <v>2</v>
      </c>
      <c r="R54" s="8" t="s">
        <v>2</v>
      </c>
      <c r="S54" s="8" t="s">
        <v>3</v>
      </c>
      <c r="T54" s="8" t="s">
        <v>3</v>
      </c>
      <c r="U54" s="8" t="s">
        <v>3</v>
      </c>
      <c r="V54" s="8" t="s">
        <v>3</v>
      </c>
      <c r="W54" s="8" t="s">
        <v>3</v>
      </c>
      <c r="X54" s="8" t="s">
        <v>3</v>
      </c>
      <c r="Y54" s="9" t="s">
        <v>3</v>
      </c>
    </row>
    <row r="55" spans="2:25" x14ac:dyDescent="0.3">
      <c r="B55">
        <v>11</v>
      </c>
      <c r="C55">
        <v>59.7</v>
      </c>
      <c r="D55">
        <v>59.7</v>
      </c>
      <c r="E55">
        <v>59.7</v>
      </c>
      <c r="F55" s="10">
        <v>36.04</v>
      </c>
      <c r="G55">
        <v>17.858000000000001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3</v>
      </c>
      <c r="S55" s="1" t="s">
        <v>2</v>
      </c>
      <c r="T55" s="1" t="s">
        <v>3</v>
      </c>
      <c r="U55" s="1" t="s">
        <v>3</v>
      </c>
      <c r="V55" s="1" t="s">
        <v>3</v>
      </c>
      <c r="W55" s="1" t="s">
        <v>3</v>
      </c>
      <c r="X55" s="1" t="s">
        <v>3</v>
      </c>
      <c r="Y55" s="1" t="s">
        <v>3</v>
      </c>
    </row>
    <row r="56" spans="2:25" x14ac:dyDescent="0.3">
      <c r="B56">
        <v>11</v>
      </c>
      <c r="C56">
        <v>59.7</v>
      </c>
      <c r="D56">
        <v>59.7</v>
      </c>
      <c r="E56">
        <v>59.7</v>
      </c>
      <c r="F56" s="10">
        <v>42.739999999999995</v>
      </c>
      <c r="G56">
        <v>17.861999999999998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3</v>
      </c>
      <c r="S56" s="1" t="s">
        <v>3</v>
      </c>
      <c r="T56" s="1" t="s">
        <v>2</v>
      </c>
      <c r="U56" s="1" t="s">
        <v>3</v>
      </c>
      <c r="V56" s="1" t="s">
        <v>3</v>
      </c>
      <c r="W56" s="1" t="s">
        <v>3</v>
      </c>
      <c r="X56" s="1" t="s">
        <v>3</v>
      </c>
      <c r="Y56" s="1" t="s">
        <v>3</v>
      </c>
    </row>
    <row r="57" spans="2:25" x14ac:dyDescent="0.3">
      <c r="B57">
        <v>11</v>
      </c>
      <c r="C57">
        <v>59.7</v>
      </c>
      <c r="D57">
        <v>59.7</v>
      </c>
      <c r="E57">
        <v>59.7</v>
      </c>
      <c r="F57" s="10">
        <v>44.480000000000004</v>
      </c>
      <c r="G57">
        <v>17.863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3</v>
      </c>
      <c r="S57" s="1" t="s">
        <v>3</v>
      </c>
      <c r="T57" s="1" t="s">
        <v>3</v>
      </c>
      <c r="U57" s="1" t="s">
        <v>2</v>
      </c>
      <c r="V57" s="1" t="s">
        <v>3</v>
      </c>
      <c r="W57" s="1" t="s">
        <v>3</v>
      </c>
      <c r="X57" s="1" t="s">
        <v>3</v>
      </c>
      <c r="Y57" s="1" t="s">
        <v>3</v>
      </c>
    </row>
    <row r="58" spans="2:25" x14ac:dyDescent="0.3">
      <c r="B58">
        <v>11</v>
      </c>
      <c r="C58">
        <v>59.7</v>
      </c>
      <c r="D58">
        <v>59.7</v>
      </c>
      <c r="E58">
        <v>59.7</v>
      </c>
      <c r="F58" s="10">
        <v>45.8</v>
      </c>
      <c r="G58">
        <v>17.863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3</v>
      </c>
      <c r="S58" s="1" t="s">
        <v>3</v>
      </c>
      <c r="T58" s="1" t="s">
        <v>3</v>
      </c>
      <c r="U58" s="1" t="s">
        <v>3</v>
      </c>
      <c r="V58" s="1" t="s">
        <v>2</v>
      </c>
      <c r="W58" s="1" t="s">
        <v>3</v>
      </c>
      <c r="X58" s="1" t="s">
        <v>3</v>
      </c>
      <c r="Y58" s="1" t="s">
        <v>3</v>
      </c>
    </row>
    <row r="59" spans="2:25" x14ac:dyDescent="0.3">
      <c r="B59" s="2">
        <v>12</v>
      </c>
      <c r="C59" s="2">
        <v>59.8</v>
      </c>
      <c r="D59" s="2">
        <v>59.8</v>
      </c>
      <c r="E59" s="2">
        <v>59.8</v>
      </c>
      <c r="F59" s="11">
        <v>15.1</v>
      </c>
      <c r="G59" s="2">
        <v>17.849</v>
      </c>
      <c r="H59" s="3" t="s">
        <v>2</v>
      </c>
      <c r="I59" s="3" t="s">
        <v>2</v>
      </c>
      <c r="J59" s="3" t="s">
        <v>2</v>
      </c>
      <c r="K59" s="3" t="s">
        <v>2</v>
      </c>
      <c r="L59" s="3" t="s">
        <v>2</v>
      </c>
      <c r="M59" s="3" t="s">
        <v>2</v>
      </c>
      <c r="N59" s="3" t="s">
        <v>2</v>
      </c>
      <c r="O59" s="3" t="s">
        <v>2</v>
      </c>
      <c r="P59" s="3" t="s">
        <v>2</v>
      </c>
      <c r="Q59" s="3" t="s">
        <v>2</v>
      </c>
      <c r="R59" s="3" t="s">
        <v>2</v>
      </c>
      <c r="S59" s="3" t="s">
        <v>2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2:25" x14ac:dyDescent="0.3">
      <c r="B60">
        <v>12</v>
      </c>
      <c r="C60">
        <v>59.8</v>
      </c>
      <c r="D60">
        <v>59.8</v>
      </c>
      <c r="E60">
        <v>59.8</v>
      </c>
      <c r="F60" s="10">
        <v>59.924999999999997</v>
      </c>
      <c r="G60">
        <v>17.852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3</v>
      </c>
      <c r="T60" s="1" t="s">
        <v>2</v>
      </c>
      <c r="U60" s="1" t="s">
        <v>3</v>
      </c>
      <c r="V60" s="1" t="s">
        <v>3</v>
      </c>
      <c r="W60" s="1" t="s">
        <v>3</v>
      </c>
      <c r="X60" s="1" t="s">
        <v>3</v>
      </c>
      <c r="Y60" s="1" t="s">
        <v>3</v>
      </c>
    </row>
    <row r="61" spans="2:25" x14ac:dyDescent="0.3">
      <c r="B61">
        <v>12</v>
      </c>
      <c r="C61">
        <v>59.8</v>
      </c>
      <c r="D61">
        <v>59.8</v>
      </c>
      <c r="E61">
        <v>59.8</v>
      </c>
      <c r="F61" s="10">
        <v>64.45</v>
      </c>
      <c r="G61">
        <v>17.853000000000002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3</v>
      </c>
      <c r="T61" s="1" t="s">
        <v>3</v>
      </c>
      <c r="U61" s="1" t="s">
        <v>2</v>
      </c>
      <c r="V61" s="1" t="s">
        <v>3</v>
      </c>
      <c r="W61" s="1" t="s">
        <v>3</v>
      </c>
      <c r="X61" s="1" t="s">
        <v>3</v>
      </c>
      <c r="Y61" s="1" t="s">
        <v>3</v>
      </c>
    </row>
    <row r="62" spans="2:25" x14ac:dyDescent="0.3">
      <c r="B62">
        <v>12</v>
      </c>
      <c r="C62">
        <v>59.8</v>
      </c>
      <c r="D62">
        <v>59.8</v>
      </c>
      <c r="E62">
        <v>59.8</v>
      </c>
      <c r="F62" s="10">
        <v>67.599999999999994</v>
      </c>
      <c r="G62">
        <v>17.853999999999999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3</v>
      </c>
      <c r="T62" s="1" t="s">
        <v>3</v>
      </c>
      <c r="U62" s="1" t="s">
        <v>3</v>
      </c>
      <c r="V62" s="1" t="s">
        <v>2</v>
      </c>
      <c r="W62" s="1" t="s">
        <v>3</v>
      </c>
      <c r="X62" s="1" t="s">
        <v>3</v>
      </c>
      <c r="Y62" s="1" t="s">
        <v>3</v>
      </c>
    </row>
    <row r="63" spans="2:25" x14ac:dyDescent="0.3">
      <c r="B63">
        <v>12</v>
      </c>
      <c r="C63">
        <v>59.8</v>
      </c>
      <c r="D63">
        <v>59.8</v>
      </c>
      <c r="E63">
        <v>59.7</v>
      </c>
      <c r="F63" s="10">
        <v>74.075000000000003</v>
      </c>
      <c r="G63">
        <v>17.855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3</v>
      </c>
      <c r="V63" s="1" t="s">
        <v>3</v>
      </c>
      <c r="W63" s="1" t="s">
        <v>3</v>
      </c>
      <c r="X63" s="1" t="s">
        <v>3</v>
      </c>
      <c r="Y63" s="1" t="s">
        <v>2</v>
      </c>
    </row>
    <row r="64" spans="2:25" x14ac:dyDescent="0.3">
      <c r="B64" s="2">
        <v>13</v>
      </c>
      <c r="C64" s="2">
        <v>59.8</v>
      </c>
      <c r="D64" s="2">
        <v>59.8</v>
      </c>
      <c r="E64" s="2">
        <v>59.8</v>
      </c>
      <c r="F64" s="11">
        <v>15.414</v>
      </c>
      <c r="G64" s="2">
        <v>17.846</v>
      </c>
      <c r="H64" s="3" t="s">
        <v>2</v>
      </c>
      <c r="I64" s="3" t="s">
        <v>2</v>
      </c>
      <c r="J64" s="3" t="s">
        <v>2</v>
      </c>
      <c r="K64" s="3" t="s">
        <v>2</v>
      </c>
      <c r="L64" s="3" t="s">
        <v>2</v>
      </c>
      <c r="M64" s="3" t="s">
        <v>2</v>
      </c>
      <c r="N64" s="3" t="s">
        <v>2</v>
      </c>
      <c r="O64" s="3" t="s">
        <v>2</v>
      </c>
      <c r="P64" s="3" t="s">
        <v>2</v>
      </c>
      <c r="Q64" s="3" t="s">
        <v>2</v>
      </c>
      <c r="R64" s="3" t="s">
        <v>2</v>
      </c>
      <c r="S64" s="3" t="s">
        <v>2</v>
      </c>
      <c r="T64" s="3" t="s">
        <v>2</v>
      </c>
      <c r="U64" s="3" t="s">
        <v>3</v>
      </c>
      <c r="V64" s="3" t="s">
        <v>3</v>
      </c>
      <c r="W64" s="3" t="s">
        <v>3</v>
      </c>
      <c r="X64" s="3" t="s">
        <v>3</v>
      </c>
      <c r="Y64" s="3" t="s">
        <v>3</v>
      </c>
    </row>
    <row r="65" spans="2:25" x14ac:dyDescent="0.3">
      <c r="B65">
        <v>13</v>
      </c>
      <c r="C65">
        <v>59.8</v>
      </c>
      <c r="D65">
        <v>59.8</v>
      </c>
      <c r="E65">
        <v>59.8</v>
      </c>
      <c r="F65" s="10">
        <v>33.674999999999997</v>
      </c>
      <c r="G65">
        <v>17.847000000000001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</v>
      </c>
      <c r="U65" s="1" t="s">
        <v>2</v>
      </c>
      <c r="V65" s="1" t="s">
        <v>3</v>
      </c>
      <c r="W65" s="1" t="s">
        <v>3</v>
      </c>
      <c r="X65" s="1" t="s">
        <v>3</v>
      </c>
      <c r="Y65" s="1" t="s">
        <v>3</v>
      </c>
    </row>
    <row r="66" spans="2:25" x14ac:dyDescent="0.3">
      <c r="B66">
        <v>13</v>
      </c>
      <c r="C66">
        <v>59.8</v>
      </c>
      <c r="D66">
        <v>59.8</v>
      </c>
      <c r="E66">
        <v>59.8</v>
      </c>
      <c r="F66" s="10">
        <v>37.35</v>
      </c>
      <c r="G66">
        <v>17.847999999999999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</v>
      </c>
      <c r="U66" s="1" t="s">
        <v>3</v>
      </c>
      <c r="V66" s="1" t="s">
        <v>2</v>
      </c>
      <c r="W66" s="1" t="s">
        <v>3</v>
      </c>
      <c r="X66" s="1" t="s">
        <v>3</v>
      </c>
      <c r="Y66" s="1" t="s">
        <v>3</v>
      </c>
    </row>
    <row r="67" spans="2:25" x14ac:dyDescent="0.3">
      <c r="B67">
        <v>13</v>
      </c>
      <c r="C67">
        <v>59.8</v>
      </c>
      <c r="D67">
        <v>59.8</v>
      </c>
      <c r="E67">
        <v>59.8</v>
      </c>
      <c r="F67" s="10">
        <v>39.424999999999997</v>
      </c>
      <c r="G67">
        <v>17.847999999999999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</v>
      </c>
      <c r="U67" s="1" t="s">
        <v>3</v>
      </c>
      <c r="V67" s="1" t="s">
        <v>3</v>
      </c>
      <c r="W67" s="1" t="s">
        <v>2</v>
      </c>
      <c r="X67" s="1" t="s">
        <v>3</v>
      </c>
      <c r="Y67" s="1" t="s">
        <v>3</v>
      </c>
    </row>
    <row r="68" spans="2:25" x14ac:dyDescent="0.3">
      <c r="B68">
        <v>13</v>
      </c>
      <c r="C68">
        <v>59.8</v>
      </c>
      <c r="D68">
        <v>59.8</v>
      </c>
      <c r="E68">
        <v>59.8</v>
      </c>
      <c r="F68" s="10">
        <v>44.05</v>
      </c>
      <c r="G68">
        <v>17.849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</v>
      </c>
      <c r="U68" s="1" t="s">
        <v>3</v>
      </c>
      <c r="V68" s="1" t="s">
        <v>3</v>
      </c>
      <c r="W68" s="1" t="s">
        <v>3</v>
      </c>
      <c r="X68" s="1" t="s">
        <v>3</v>
      </c>
      <c r="Y68" s="1" t="s">
        <v>2</v>
      </c>
    </row>
    <row r="69" spans="2:25" x14ac:dyDescent="0.3">
      <c r="B69" s="2">
        <v>14</v>
      </c>
      <c r="C69" s="2">
        <v>59.8</v>
      </c>
      <c r="D69" s="2">
        <v>59.8</v>
      </c>
      <c r="E69" s="2">
        <v>59.8</v>
      </c>
      <c r="F69" s="11">
        <v>15.75</v>
      </c>
      <c r="G69" s="2">
        <v>17.844000000000001</v>
      </c>
      <c r="H69" s="3" t="s">
        <v>2</v>
      </c>
      <c r="I69" s="3" t="s">
        <v>2</v>
      </c>
      <c r="J69" s="3" t="s">
        <v>2</v>
      </c>
      <c r="K69" s="3" t="s">
        <v>2</v>
      </c>
      <c r="L69" s="3" t="s">
        <v>2</v>
      </c>
      <c r="M69" s="3" t="s">
        <v>2</v>
      </c>
      <c r="N69" s="3" t="s">
        <v>2</v>
      </c>
      <c r="O69" s="3" t="s">
        <v>2</v>
      </c>
      <c r="P69" s="3" t="s">
        <v>2</v>
      </c>
      <c r="Q69" s="3" t="s">
        <v>2</v>
      </c>
      <c r="R69" s="3" t="s">
        <v>2</v>
      </c>
      <c r="S69" s="3" t="s">
        <v>2</v>
      </c>
      <c r="T69" s="3" t="s">
        <v>2</v>
      </c>
      <c r="U69" s="3" t="s">
        <v>2</v>
      </c>
      <c r="V69" s="3" t="s">
        <v>3</v>
      </c>
      <c r="W69" s="3" t="s">
        <v>3</v>
      </c>
      <c r="X69" s="3" t="s">
        <v>3</v>
      </c>
      <c r="Y69" s="3" t="s">
        <v>3</v>
      </c>
    </row>
    <row r="70" spans="2:25" x14ac:dyDescent="0.3">
      <c r="B70">
        <v>14</v>
      </c>
      <c r="C70">
        <v>59.8</v>
      </c>
      <c r="D70">
        <v>59.8</v>
      </c>
      <c r="E70">
        <v>59.8</v>
      </c>
      <c r="F70" s="10">
        <v>30.900000000000002</v>
      </c>
      <c r="G70">
        <v>17.844999999999999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3</v>
      </c>
      <c r="V70" s="1" t="s">
        <v>2</v>
      </c>
      <c r="W70" s="1" t="s">
        <v>3</v>
      </c>
      <c r="X70" s="1" t="s">
        <v>3</v>
      </c>
      <c r="Y70" s="1" t="s">
        <v>3</v>
      </c>
    </row>
    <row r="71" spans="2:25" x14ac:dyDescent="0.3">
      <c r="B71">
        <v>14</v>
      </c>
      <c r="C71">
        <v>59.8</v>
      </c>
      <c r="D71">
        <v>59.8</v>
      </c>
      <c r="E71">
        <v>59.8</v>
      </c>
      <c r="F71" s="10">
        <v>33.366666666666667</v>
      </c>
      <c r="G71">
        <v>17.844999999999999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3</v>
      </c>
      <c r="V71" s="1" t="s">
        <v>3</v>
      </c>
      <c r="W71" s="1" t="s">
        <v>2</v>
      </c>
      <c r="X71" s="1" t="s">
        <v>3</v>
      </c>
      <c r="Y71" s="1" t="s">
        <v>3</v>
      </c>
    </row>
    <row r="72" spans="2:25" x14ac:dyDescent="0.3">
      <c r="B72">
        <v>14</v>
      </c>
      <c r="C72">
        <v>59.8</v>
      </c>
      <c r="D72">
        <v>59.8</v>
      </c>
      <c r="E72">
        <v>59.8</v>
      </c>
      <c r="F72" s="10">
        <v>34.93333333333333</v>
      </c>
      <c r="G72">
        <v>17.844999999999999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</v>
      </c>
      <c r="U72" s="1" t="s">
        <v>2</v>
      </c>
      <c r="V72" s="1" t="s">
        <v>2</v>
      </c>
      <c r="W72" s="1" t="s">
        <v>3</v>
      </c>
      <c r="X72" s="1" t="s">
        <v>3</v>
      </c>
      <c r="Y72" s="1" t="s">
        <v>3</v>
      </c>
    </row>
    <row r="73" spans="2:25" x14ac:dyDescent="0.3">
      <c r="B73">
        <v>14</v>
      </c>
      <c r="C73">
        <v>59.8</v>
      </c>
      <c r="D73">
        <v>59.8</v>
      </c>
      <c r="E73">
        <v>59.8</v>
      </c>
      <c r="F73" s="10">
        <v>36.733333333333334</v>
      </c>
      <c r="G73">
        <v>17.846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</v>
      </c>
      <c r="U73" s="1" t="s">
        <v>2</v>
      </c>
      <c r="V73" s="1" t="s">
        <v>3</v>
      </c>
      <c r="W73" s="1" t="s">
        <v>2</v>
      </c>
      <c r="X73" s="1" t="s">
        <v>3</v>
      </c>
      <c r="Y73" s="1" t="s">
        <v>3</v>
      </c>
    </row>
    <row r="74" spans="2:25" x14ac:dyDescent="0.3">
      <c r="B74" s="2">
        <v>15</v>
      </c>
      <c r="C74" s="2">
        <v>59.8</v>
      </c>
      <c r="D74" s="2">
        <v>59.8</v>
      </c>
      <c r="E74" s="2">
        <v>59.8</v>
      </c>
      <c r="F74" s="11">
        <v>16.05</v>
      </c>
      <c r="G74" s="2">
        <v>17.843</v>
      </c>
      <c r="H74" s="3" t="s">
        <v>2</v>
      </c>
      <c r="I74" s="3" t="s">
        <v>2</v>
      </c>
      <c r="J74" s="3" t="s">
        <v>2</v>
      </c>
      <c r="K74" s="3" t="s">
        <v>2</v>
      </c>
      <c r="L74" s="3" t="s">
        <v>2</v>
      </c>
      <c r="M74" s="3" t="s">
        <v>2</v>
      </c>
      <c r="N74" s="3" t="s">
        <v>2</v>
      </c>
      <c r="O74" s="3" t="s">
        <v>2</v>
      </c>
      <c r="P74" s="3" t="s">
        <v>2</v>
      </c>
      <c r="Q74" s="3" t="s">
        <v>2</v>
      </c>
      <c r="R74" s="3" t="s">
        <v>2</v>
      </c>
      <c r="S74" s="3" t="s">
        <v>2</v>
      </c>
      <c r="T74" s="3" t="s">
        <v>2</v>
      </c>
      <c r="U74" s="3" t="s">
        <v>2</v>
      </c>
      <c r="V74" s="3" t="s">
        <v>2</v>
      </c>
      <c r="W74" s="3" t="s">
        <v>3</v>
      </c>
      <c r="X74" s="3" t="s">
        <v>3</v>
      </c>
      <c r="Y74" s="3" t="s">
        <v>3</v>
      </c>
    </row>
    <row r="75" spans="2:25" x14ac:dyDescent="0.3">
      <c r="B75">
        <v>15</v>
      </c>
      <c r="C75">
        <v>59.8</v>
      </c>
      <c r="D75">
        <v>59.8</v>
      </c>
      <c r="E75">
        <v>59.8</v>
      </c>
      <c r="F75" s="10">
        <v>52.4</v>
      </c>
      <c r="G75">
        <v>17.843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3</v>
      </c>
      <c r="W75" s="1" t="s">
        <v>2</v>
      </c>
      <c r="X75" s="1" t="s">
        <v>3</v>
      </c>
      <c r="Y75" s="1" t="s">
        <v>3</v>
      </c>
    </row>
    <row r="76" spans="2:25" x14ac:dyDescent="0.3">
      <c r="B76">
        <v>15</v>
      </c>
      <c r="C76">
        <v>59.8</v>
      </c>
      <c r="D76">
        <v>59.8</v>
      </c>
      <c r="E76">
        <v>59.8</v>
      </c>
      <c r="F76" s="10">
        <v>68.5</v>
      </c>
      <c r="G76">
        <v>17.844000000000001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3</v>
      </c>
      <c r="V76" s="1" t="s">
        <v>2</v>
      </c>
      <c r="W76" s="1" t="s">
        <v>2</v>
      </c>
      <c r="X76" s="1" t="s">
        <v>3</v>
      </c>
      <c r="Y76" s="1" t="s">
        <v>3</v>
      </c>
    </row>
    <row r="77" spans="2:25" x14ac:dyDescent="0.3">
      <c r="B77">
        <v>15</v>
      </c>
      <c r="C77">
        <v>59.8</v>
      </c>
      <c r="D77">
        <v>59.8</v>
      </c>
      <c r="E77">
        <v>59.8</v>
      </c>
      <c r="F77" s="10">
        <v>71.599999999999994</v>
      </c>
      <c r="G77">
        <v>17.844000000000001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3</v>
      </c>
      <c r="W77" s="1" t="s">
        <v>3</v>
      </c>
      <c r="X77" s="1" t="s">
        <v>2</v>
      </c>
      <c r="Y77" s="1" t="s">
        <v>3</v>
      </c>
    </row>
    <row r="78" spans="2:25" x14ac:dyDescent="0.3">
      <c r="B78">
        <v>15</v>
      </c>
      <c r="C78">
        <v>59.8</v>
      </c>
      <c r="D78">
        <v>59.8</v>
      </c>
      <c r="E78">
        <v>59.8</v>
      </c>
      <c r="F78" s="10">
        <v>79.5</v>
      </c>
      <c r="G78">
        <v>17.844000000000001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3</v>
      </c>
      <c r="W78" s="1" t="s">
        <v>3</v>
      </c>
      <c r="X78" s="1" t="s">
        <v>3</v>
      </c>
      <c r="Y78" s="1" t="s">
        <v>2</v>
      </c>
    </row>
    <row r="79" spans="2:25" x14ac:dyDescent="0.3">
      <c r="B79" s="2">
        <v>16</v>
      </c>
      <c r="C79" s="2">
        <v>59.8</v>
      </c>
      <c r="D79" s="2">
        <v>59.8</v>
      </c>
      <c r="E79" s="2">
        <v>59.8</v>
      </c>
      <c r="F79" s="11">
        <v>16.329999999999998</v>
      </c>
      <c r="G79" s="2">
        <v>17.841000000000001</v>
      </c>
      <c r="H79" s="3" t="s">
        <v>2</v>
      </c>
      <c r="I79" s="3" t="s">
        <v>2</v>
      </c>
      <c r="J79" s="3" t="s">
        <v>2</v>
      </c>
      <c r="K79" s="3" t="s">
        <v>2</v>
      </c>
      <c r="L79" s="3" t="s">
        <v>2</v>
      </c>
      <c r="M79" s="3" t="s">
        <v>2</v>
      </c>
      <c r="N79" s="3" t="s">
        <v>2</v>
      </c>
      <c r="O79" s="3" t="s">
        <v>2</v>
      </c>
      <c r="P79" s="3" t="s">
        <v>2</v>
      </c>
      <c r="Q79" s="3" t="s">
        <v>2</v>
      </c>
      <c r="R79" s="3" t="s">
        <v>2</v>
      </c>
      <c r="S79" s="3" t="s">
        <v>2</v>
      </c>
      <c r="T79" s="3" t="s">
        <v>2</v>
      </c>
      <c r="U79" s="3" t="s">
        <v>2</v>
      </c>
      <c r="V79" s="3" t="s">
        <v>2</v>
      </c>
      <c r="W79" s="3" t="s">
        <v>2</v>
      </c>
      <c r="X79" s="3" t="s">
        <v>3</v>
      </c>
      <c r="Y79" s="3" t="s">
        <v>3</v>
      </c>
    </row>
    <row r="80" spans="2:25" x14ac:dyDescent="0.3">
      <c r="B80">
        <v>16</v>
      </c>
      <c r="C80">
        <v>59.8</v>
      </c>
      <c r="D80">
        <v>59.8</v>
      </c>
      <c r="E80">
        <v>59.8</v>
      </c>
      <c r="F80" s="10">
        <v>41.9</v>
      </c>
      <c r="G80">
        <v>17.841999999999999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3</v>
      </c>
      <c r="X80" s="1" t="s">
        <v>2</v>
      </c>
      <c r="Y80" s="1" t="s">
        <v>3</v>
      </c>
    </row>
    <row r="81" spans="2:25" x14ac:dyDescent="0.3">
      <c r="B81">
        <v>16</v>
      </c>
      <c r="C81">
        <v>59.8</v>
      </c>
      <c r="D81">
        <v>59.8</v>
      </c>
      <c r="E81">
        <v>59.8</v>
      </c>
      <c r="F81" s="10">
        <v>46.5</v>
      </c>
      <c r="G81">
        <v>17.841999999999999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3</v>
      </c>
      <c r="W81" s="1" t="s">
        <v>2</v>
      </c>
      <c r="X81" s="1" t="s">
        <v>2</v>
      </c>
      <c r="Y81" s="1" t="s">
        <v>3</v>
      </c>
    </row>
    <row r="82" spans="2:25" x14ac:dyDescent="0.3">
      <c r="B82">
        <v>16</v>
      </c>
      <c r="C82">
        <v>59.8</v>
      </c>
      <c r="D82">
        <v>59.8</v>
      </c>
      <c r="E82">
        <v>59.8</v>
      </c>
      <c r="F82" s="10">
        <v>49.8</v>
      </c>
      <c r="G82">
        <v>17.843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3</v>
      </c>
      <c r="X82" s="1" t="s">
        <v>3</v>
      </c>
      <c r="Y82" s="1" t="s">
        <v>2</v>
      </c>
    </row>
    <row r="83" spans="2:25" x14ac:dyDescent="0.3">
      <c r="B83">
        <v>16</v>
      </c>
      <c r="C83">
        <v>59.8</v>
      </c>
      <c r="D83">
        <v>59.8</v>
      </c>
      <c r="E83">
        <v>59.8</v>
      </c>
      <c r="F83" s="10">
        <v>54.3</v>
      </c>
      <c r="G83">
        <v>17.843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3</v>
      </c>
      <c r="W83" s="1" t="s">
        <v>2</v>
      </c>
      <c r="X83" s="1" t="s">
        <v>3</v>
      </c>
      <c r="Y83" s="1" t="s">
        <v>2</v>
      </c>
    </row>
    <row r="84" spans="2:25" x14ac:dyDescent="0.3">
      <c r="B84">
        <v>17</v>
      </c>
      <c r="C84">
        <v>59.8</v>
      </c>
      <c r="D84">
        <v>59.8</v>
      </c>
      <c r="E84">
        <v>59.8</v>
      </c>
      <c r="F84" s="10">
        <v>17</v>
      </c>
      <c r="G84">
        <v>17.841000000000001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3</v>
      </c>
    </row>
    <row r="85" spans="2:25" x14ac:dyDescent="0.3">
      <c r="B85">
        <v>17</v>
      </c>
      <c r="C85">
        <v>59.8</v>
      </c>
      <c r="D85">
        <v>59.8</v>
      </c>
      <c r="E85">
        <v>59.8</v>
      </c>
      <c r="F85" s="10">
        <v>24.8</v>
      </c>
      <c r="G85">
        <v>17.841000000000001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3</v>
      </c>
      <c r="Y85" s="1" t="s">
        <v>2</v>
      </c>
    </row>
    <row r="86" spans="2:25" x14ac:dyDescent="0.3">
      <c r="B86">
        <v>17</v>
      </c>
      <c r="C86">
        <v>59.8</v>
      </c>
      <c r="D86">
        <v>59.8</v>
      </c>
      <c r="E86">
        <v>59.8</v>
      </c>
      <c r="F86" s="10">
        <v>43.9</v>
      </c>
      <c r="G86">
        <v>17.841999999999999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3</v>
      </c>
      <c r="X86" s="1" t="s">
        <v>2</v>
      </c>
      <c r="Y86" s="1" t="s">
        <v>2</v>
      </c>
    </row>
    <row r="87" spans="2:25" x14ac:dyDescent="0.3">
      <c r="B87">
        <v>17</v>
      </c>
      <c r="C87">
        <v>59.8</v>
      </c>
      <c r="D87">
        <v>59.8</v>
      </c>
      <c r="E87">
        <v>59.8</v>
      </c>
      <c r="F87" s="10">
        <v>48.5</v>
      </c>
      <c r="G87">
        <v>17.843</v>
      </c>
      <c r="H87" s="1" t="s">
        <v>2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2</v>
      </c>
      <c r="U87" s="1" t="s">
        <v>2</v>
      </c>
      <c r="V87" s="1" t="s">
        <v>3</v>
      </c>
      <c r="W87" s="1" t="s">
        <v>2</v>
      </c>
      <c r="X87" s="1" t="s">
        <v>2</v>
      </c>
      <c r="Y87" s="1" t="s">
        <v>2</v>
      </c>
    </row>
    <row r="88" spans="2:25" x14ac:dyDescent="0.3">
      <c r="B88">
        <v>17</v>
      </c>
      <c r="C88">
        <v>59.8</v>
      </c>
      <c r="D88">
        <v>59.8</v>
      </c>
      <c r="E88">
        <v>59.8</v>
      </c>
      <c r="F88" s="10">
        <v>65.599999999999994</v>
      </c>
      <c r="G88">
        <v>17.843</v>
      </c>
      <c r="H88" s="1" t="s">
        <v>2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3</v>
      </c>
      <c r="V88" s="1" t="s">
        <v>2</v>
      </c>
      <c r="W88" s="1" t="s">
        <v>2</v>
      </c>
      <c r="X88" s="1" t="s">
        <v>2</v>
      </c>
      <c r="Y88" s="1" t="s">
        <v>2</v>
      </c>
    </row>
    <row r="89" spans="2:25" x14ac:dyDescent="0.3">
      <c r="B89">
        <v>18</v>
      </c>
      <c r="C89">
        <v>59.8</v>
      </c>
      <c r="D89">
        <v>59.8</v>
      </c>
      <c r="E89">
        <v>59.8</v>
      </c>
      <c r="F89" s="10">
        <v>19</v>
      </c>
      <c r="G89">
        <v>17.841000000000001</v>
      </c>
      <c r="H89" s="1" t="s">
        <v>2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2</v>
      </c>
      <c r="U89" s="1" t="s">
        <v>2</v>
      </c>
      <c r="V89" s="1" t="s">
        <v>2</v>
      </c>
      <c r="W89" s="1" t="s">
        <v>2</v>
      </c>
      <c r="X89" s="1" t="s">
        <v>2</v>
      </c>
      <c r="Y8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Cp_Mallows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2025-07-01T08:09:01Z</dcterms:created>
  <dcterms:modified xsi:type="dcterms:W3CDTF">2025-07-01T09:00:43Z</dcterms:modified>
</cp:coreProperties>
</file>